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"/>
    </mc:Choice>
  </mc:AlternateContent>
  <xr:revisionPtr revIDLastSave="0" documentId="13_ncr:1_{C58894F9-17D5-4D37-B748-AE52A48D375A}" xr6:coauthVersionLast="47" xr6:coauthVersionMax="47" xr10:uidLastSave="{00000000-0000-0000-0000-000000000000}"/>
  <bookViews>
    <workbookView xWindow="-120" yWindow="-120" windowWidth="29040" windowHeight="15720" activeTab="1" xr2:uid="{DE78808B-44C1-4EF9-9B66-90C5E6FA9CB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50" i="1" l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</calcChain>
</file>

<file path=xl/sharedStrings.xml><?xml version="1.0" encoding="utf-8"?>
<sst xmlns="http://schemas.openxmlformats.org/spreadsheetml/2006/main" count="36" uniqueCount="25">
  <si>
    <t>Route&gt;</t>
  </si>
  <si>
    <t>AVERAGE</t>
  </si>
  <si>
    <t>Date</t>
  </si>
  <si>
    <t>97?</t>
  </si>
  <si>
    <t>UPT-Weekday</t>
  </si>
  <si>
    <t>UPT-Total</t>
  </si>
  <si>
    <t>VRM-Weekday</t>
  </si>
  <si>
    <t>VRM-SatSun</t>
  </si>
  <si>
    <t>VRH-Weekday</t>
  </si>
  <si>
    <t>VRH-SatSun</t>
  </si>
  <si>
    <t>Not in GTFS</t>
  </si>
  <si>
    <t>Missing</t>
  </si>
  <si>
    <t>Extra</t>
  </si>
  <si>
    <t>Jan-Apr</t>
  </si>
  <si>
    <t>UPT SatSun</t>
  </si>
  <si>
    <t>GTFS Pulls</t>
  </si>
  <si>
    <t>Start Date</t>
  </si>
  <si>
    <t>End Date</t>
  </si>
  <si>
    <t>Mid End Date</t>
  </si>
  <si>
    <t>Mid Restart Date</t>
  </si>
  <si>
    <t>Summer</t>
  </si>
  <si>
    <t>Clean Start and End Dates</t>
  </si>
  <si>
    <t>Monthly Start End</t>
  </si>
  <si>
    <t>Start Month</t>
  </si>
  <si>
    <t>End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</si>
</sst>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17" fontId="2" fillId="2" borderId="0" xfId="0" applyNumberFormat="1" applyFont="1" applyFill="1"/>
    <xf numFmtId="3" fontId="3" fillId="0" borderId="0" xfId="0" applyNumberFormat="1" applyFont="1"/>
    <xf numFmtId="3" fontId="0" fillId="0" borderId="0" xfId="1" applyNumberFormat="1" applyFont="1"/>
    <xf numFmtId="164" fontId="0" fillId="0" borderId="0" xfId="1" applyNumberFormat="1" applyFont="1"/>
    <xf numFmtId="0" fontId="2" fillId="2" borderId="0" xfId="0" applyFont="1" applyFill="1"/>
    <xf numFmtId="4" fontId="3" fillId="0" borderId="0" xfId="0" applyNumberFormat="1" applyFont="1"/>
    <xf numFmtId="164" fontId="0" fillId="0" borderId="0" xfId="1" applyNumberFormat="1" applyFont="1" applyFill="1"/>
    <xf numFmtId="0" fontId="3" fillId="0" borderId="0" xfId="0" applyFont="1"/>
    <xf numFmtId="14" fontId="0" fillId="0" borderId="0" xfId="0" applyNumberFormat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1" xfId="0" applyFont="1" applyBorder="1"/>
    <xf numFmtId="14" fontId="2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17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90FB-9F9D-4CE4-8C05-051463FB1CFB}">
  <dimension ref="A1:AN105"/>
  <sheetViews>
    <sheetView workbookViewId="0">
      <selection activeCell="B3" sqref="B3"/>
    </sheetView>
  </sheetViews>
  <sheetFormatPr defaultRowHeight="15" x14ac:dyDescent="0.25"/>
  <cols>
    <col min="1" max="1" width="9.140625" style="8"/>
    <col min="2" max="2" width="10.28515625" customWidth="1"/>
    <col min="3" max="3" width="11.85546875" customWidth="1"/>
    <col min="4" max="4" width="14.42578125" customWidth="1"/>
    <col min="5" max="5" width="10.7109375" customWidth="1"/>
    <col min="6" max="7" width="11.5703125" bestFit="1" customWidth="1"/>
    <col min="8" max="9" width="10.5703125" bestFit="1" customWidth="1"/>
    <col min="10" max="10" width="11.5703125" bestFit="1" customWidth="1"/>
    <col min="11" max="11" width="10.5703125" bestFit="1" customWidth="1"/>
    <col min="12" max="12" width="11.5703125" bestFit="1" customWidth="1"/>
    <col min="13" max="13" width="10.5703125" bestFit="1" customWidth="1"/>
    <col min="14" max="14" width="11.5703125" bestFit="1" customWidth="1"/>
    <col min="15" max="15" width="12.85546875" customWidth="1"/>
    <col min="16" max="16" width="14.5703125" customWidth="1"/>
    <col min="17" max="17" width="10.5703125" bestFit="1" customWidth="1"/>
    <col min="18" max="18" width="11.5703125" bestFit="1" customWidth="1"/>
    <col min="19" max="19" width="10.5703125" bestFit="1" customWidth="1"/>
    <col min="20" max="20" width="8.28515625" customWidth="1"/>
    <col min="21" max="21" width="9" customWidth="1"/>
    <col min="22" max="25" width="11.5703125" bestFit="1" customWidth="1"/>
    <col min="26" max="26" width="10.140625" customWidth="1"/>
    <col min="30" max="33" width="10.5703125" bestFit="1" customWidth="1"/>
    <col min="34" max="34" width="12.140625" customWidth="1"/>
    <col min="35" max="35" width="12.5703125" customWidth="1"/>
    <col min="36" max="36" width="10.5703125" bestFit="1" customWidth="1"/>
    <col min="37" max="38" width="7.7109375" customWidth="1"/>
    <col min="39" max="39" width="13.5703125" customWidth="1"/>
  </cols>
  <sheetData>
    <row r="1" spans="1:40" s="1" customFormat="1" x14ac:dyDescent="0.25">
      <c r="A1" s="1" t="s">
        <v>0</v>
      </c>
      <c r="B1" s="1">
        <v>3</v>
      </c>
      <c r="C1" s="1">
        <v>4</v>
      </c>
      <c r="D1" s="1">
        <v>5</v>
      </c>
      <c r="E1" s="1">
        <v>6</v>
      </c>
      <c r="F1" s="1">
        <v>7</v>
      </c>
      <c r="G1" s="1">
        <v>8</v>
      </c>
      <c r="H1" s="1">
        <v>9</v>
      </c>
      <c r="I1" s="1">
        <v>14</v>
      </c>
      <c r="J1" s="1">
        <v>17</v>
      </c>
      <c r="K1" s="1">
        <v>18</v>
      </c>
      <c r="L1" s="1">
        <v>19</v>
      </c>
      <c r="M1" s="1">
        <v>21</v>
      </c>
      <c r="N1" s="1">
        <v>22</v>
      </c>
      <c r="O1" s="1">
        <v>23</v>
      </c>
      <c r="P1" s="1">
        <v>25</v>
      </c>
      <c r="Q1" s="1">
        <v>28</v>
      </c>
      <c r="R1" s="1">
        <v>29</v>
      </c>
      <c r="S1" s="1">
        <v>34</v>
      </c>
      <c r="T1" s="1">
        <v>41</v>
      </c>
      <c r="U1" s="1">
        <v>42</v>
      </c>
      <c r="V1" s="1">
        <v>50</v>
      </c>
      <c r="W1" s="1">
        <v>52</v>
      </c>
      <c r="X1" s="1">
        <v>55</v>
      </c>
      <c r="Y1" s="1">
        <v>56</v>
      </c>
      <c r="Z1" s="1">
        <v>64</v>
      </c>
      <c r="AA1" s="1">
        <v>70</v>
      </c>
      <c r="AB1" s="1">
        <v>71</v>
      </c>
      <c r="AC1" s="1">
        <v>72</v>
      </c>
      <c r="AD1" s="1">
        <v>75</v>
      </c>
      <c r="AE1" s="1">
        <v>76</v>
      </c>
      <c r="AF1" s="1">
        <v>77</v>
      </c>
      <c r="AG1" s="1">
        <v>79</v>
      </c>
      <c r="AH1" s="1">
        <v>84</v>
      </c>
      <c r="AI1" s="1">
        <v>86</v>
      </c>
      <c r="AJ1" s="1">
        <v>93</v>
      </c>
      <c r="AK1" s="1">
        <v>96</v>
      </c>
      <c r="AL1" s="1">
        <v>97</v>
      </c>
      <c r="AM1" s="1" t="s">
        <v>1</v>
      </c>
    </row>
    <row r="2" spans="1:40" x14ac:dyDescent="0.25">
      <c r="A2" s="2" t="s">
        <v>2</v>
      </c>
      <c r="AM2" s="3"/>
    </row>
    <row r="3" spans="1:40" x14ac:dyDescent="0.25">
      <c r="A3" s="4">
        <v>44197</v>
      </c>
      <c r="B3" s="5">
        <v>7116.78</v>
      </c>
      <c r="C3" s="5">
        <v>5952.43</v>
      </c>
      <c r="D3" s="5">
        <v>7457.63</v>
      </c>
      <c r="E3" s="5">
        <v>4138.55</v>
      </c>
      <c r="F3" s="5">
        <v>8590.56</v>
      </c>
      <c r="G3" s="5">
        <v>7615.01</v>
      </c>
      <c r="H3" s="5">
        <v>3382.43</v>
      </c>
      <c r="I3" s="5">
        <v>3617.2</v>
      </c>
      <c r="J3" s="5">
        <v>3664.93</v>
      </c>
      <c r="K3" s="5">
        <v>3245.1</v>
      </c>
      <c r="L3" s="5">
        <v>6578.85</v>
      </c>
      <c r="M3" s="5">
        <v>1308.74</v>
      </c>
      <c r="N3" s="5">
        <v>15175.21</v>
      </c>
      <c r="O3" s="5">
        <v>16259.46</v>
      </c>
      <c r="P3" s="5">
        <v>1641.25</v>
      </c>
      <c r="Q3" s="5">
        <v>2020.01</v>
      </c>
      <c r="R3" s="5">
        <v>6565.05</v>
      </c>
      <c r="S3" s="5">
        <v>1674.7</v>
      </c>
      <c r="T3" s="5"/>
      <c r="U3" s="5">
        <v>2686.22</v>
      </c>
      <c r="V3" s="5">
        <v>17330.95</v>
      </c>
      <c r="W3" s="5">
        <v>24624.09</v>
      </c>
      <c r="X3" s="5">
        <v>33005.800000000003</v>
      </c>
      <c r="Y3" s="5">
        <v>34691.39</v>
      </c>
      <c r="Z3" s="5"/>
      <c r="AA3" s="5"/>
      <c r="AB3" s="5"/>
      <c r="AC3" s="5">
        <v>498.72</v>
      </c>
      <c r="AD3" s="5"/>
      <c r="AE3" s="5">
        <v>3612.41</v>
      </c>
      <c r="AF3" s="5">
        <v>661.6</v>
      </c>
      <c r="AG3" s="5"/>
      <c r="AH3" s="5"/>
      <c r="AI3" s="5"/>
      <c r="AJ3" s="5">
        <v>1275</v>
      </c>
      <c r="AK3" s="5">
        <v>720</v>
      </c>
      <c r="AL3" s="5"/>
      <c r="AM3" s="3">
        <f>AVERAGE(B3:AL3)</f>
        <v>8039.6453571428565</v>
      </c>
      <c r="AN3" s="3"/>
    </row>
    <row r="4" spans="1:40" x14ac:dyDescent="0.25">
      <c r="A4" s="4">
        <v>44228</v>
      </c>
      <c r="B4" s="5">
        <v>7104</v>
      </c>
      <c r="C4" s="5">
        <v>4820</v>
      </c>
      <c r="D4" s="5">
        <v>6666</v>
      </c>
      <c r="E4" s="5">
        <v>3545</v>
      </c>
      <c r="F4" s="5">
        <v>8387</v>
      </c>
      <c r="G4" s="5">
        <v>6375</v>
      </c>
      <c r="H4" s="5">
        <v>2618</v>
      </c>
      <c r="I4" s="5">
        <v>2768</v>
      </c>
      <c r="J4" s="5">
        <v>3378</v>
      </c>
      <c r="K4" s="5">
        <v>2833</v>
      </c>
      <c r="L4" s="5">
        <v>5297</v>
      </c>
      <c r="M4" s="5">
        <v>972</v>
      </c>
      <c r="N4" s="5">
        <v>14033</v>
      </c>
      <c r="O4" s="5">
        <v>15803</v>
      </c>
      <c r="P4" s="5">
        <v>1568</v>
      </c>
      <c r="Q4" s="5">
        <v>1735</v>
      </c>
      <c r="R4" s="5">
        <v>4764</v>
      </c>
      <c r="S4" s="5">
        <v>1310</v>
      </c>
      <c r="T4" s="5">
        <v>0</v>
      </c>
      <c r="U4" s="5">
        <v>2297</v>
      </c>
      <c r="V4" s="5">
        <v>16603</v>
      </c>
      <c r="W4" s="5">
        <v>23670</v>
      </c>
      <c r="X4" s="5">
        <v>31763</v>
      </c>
      <c r="Y4" s="5">
        <v>32648</v>
      </c>
      <c r="Z4" s="5">
        <v>0</v>
      </c>
      <c r="AA4" s="5"/>
      <c r="AB4" s="5"/>
      <c r="AC4" s="5">
        <v>358</v>
      </c>
      <c r="AD4" s="5"/>
      <c r="AE4" s="5">
        <v>2934</v>
      </c>
      <c r="AF4" s="5">
        <v>547</v>
      </c>
      <c r="AG4" s="5"/>
      <c r="AH4" s="5">
        <v>0</v>
      </c>
      <c r="AI4" s="5">
        <v>0</v>
      </c>
      <c r="AJ4" s="5">
        <v>1180</v>
      </c>
      <c r="AK4" s="5">
        <v>647</v>
      </c>
      <c r="AL4" s="5"/>
      <c r="AM4" s="3">
        <f t="shared" ref="AM4:AM50" si="0">AVERAGE(B4:AL4)</f>
        <v>6456.96875</v>
      </c>
    </row>
    <row r="5" spans="1:40" x14ac:dyDescent="0.25">
      <c r="A5" s="4">
        <v>44256</v>
      </c>
      <c r="B5" s="5">
        <v>10033</v>
      </c>
      <c r="C5" s="5">
        <v>7887</v>
      </c>
      <c r="D5" s="5">
        <v>10666</v>
      </c>
      <c r="E5" s="5">
        <v>5856</v>
      </c>
      <c r="F5" s="5">
        <v>12154</v>
      </c>
      <c r="G5" s="5">
        <v>9648</v>
      </c>
      <c r="H5" s="5">
        <v>3476</v>
      </c>
      <c r="I5" s="5">
        <v>4319</v>
      </c>
      <c r="J5" s="5">
        <v>5285</v>
      </c>
      <c r="K5" s="5">
        <v>3775</v>
      </c>
      <c r="L5" s="5">
        <v>8652</v>
      </c>
      <c r="M5" s="5">
        <v>1562</v>
      </c>
      <c r="N5" s="5">
        <v>18474</v>
      </c>
      <c r="O5" s="5">
        <v>20924</v>
      </c>
      <c r="P5" s="5">
        <v>2422</v>
      </c>
      <c r="Q5" s="5">
        <v>2353</v>
      </c>
      <c r="R5" s="5">
        <v>7269</v>
      </c>
      <c r="S5" s="5">
        <v>2315</v>
      </c>
      <c r="T5" s="5">
        <v>0</v>
      </c>
      <c r="U5" s="5">
        <v>3280</v>
      </c>
      <c r="V5" s="5">
        <v>22461</v>
      </c>
      <c r="W5" s="5">
        <v>29896</v>
      </c>
      <c r="X5" s="5">
        <v>43926</v>
      </c>
      <c r="Y5" s="5">
        <v>45042</v>
      </c>
      <c r="Z5" s="5">
        <v>0</v>
      </c>
      <c r="AA5" s="5"/>
      <c r="AB5" s="5"/>
      <c r="AC5" s="5">
        <v>479</v>
      </c>
      <c r="AD5" s="5"/>
      <c r="AE5" s="5">
        <v>4535</v>
      </c>
      <c r="AF5" s="5">
        <v>725</v>
      </c>
      <c r="AG5" s="5"/>
      <c r="AH5" s="5">
        <v>0</v>
      </c>
      <c r="AI5" s="5">
        <v>0</v>
      </c>
      <c r="AJ5" s="5">
        <v>1602</v>
      </c>
      <c r="AK5" s="5">
        <v>914</v>
      </c>
      <c r="AL5" s="5"/>
      <c r="AM5" s="3">
        <f t="shared" si="0"/>
        <v>9060.3125</v>
      </c>
    </row>
    <row r="6" spans="1:40" x14ac:dyDescent="0.25">
      <c r="A6" s="4">
        <v>44287</v>
      </c>
      <c r="B6" s="5">
        <v>10558</v>
      </c>
      <c r="C6" s="5">
        <v>9303</v>
      </c>
      <c r="D6" s="5">
        <v>12008</v>
      </c>
      <c r="E6" s="5">
        <v>6623</v>
      </c>
      <c r="F6" s="5">
        <v>14896</v>
      </c>
      <c r="G6" s="5">
        <v>10023</v>
      </c>
      <c r="H6" s="5">
        <v>3860</v>
      </c>
      <c r="I6" s="5">
        <v>4458</v>
      </c>
      <c r="J6" s="5">
        <v>5797</v>
      </c>
      <c r="K6" s="5">
        <v>4480</v>
      </c>
      <c r="L6" s="5">
        <v>8857</v>
      </c>
      <c r="M6" s="5">
        <v>1496</v>
      </c>
      <c r="N6" s="5">
        <v>20127</v>
      </c>
      <c r="O6" s="5">
        <v>24513</v>
      </c>
      <c r="P6" s="5">
        <v>2084</v>
      </c>
      <c r="Q6" s="5">
        <v>2604</v>
      </c>
      <c r="R6" s="5">
        <v>7511</v>
      </c>
      <c r="S6" s="5">
        <v>2463</v>
      </c>
      <c r="T6" s="5">
        <v>215</v>
      </c>
      <c r="U6" s="5">
        <v>3492</v>
      </c>
      <c r="V6" s="5">
        <v>25108</v>
      </c>
      <c r="W6" s="5">
        <v>33270</v>
      </c>
      <c r="X6" s="5">
        <v>48466</v>
      </c>
      <c r="Y6" s="5">
        <v>46946</v>
      </c>
      <c r="Z6" s="5">
        <v>0</v>
      </c>
      <c r="AA6" s="5"/>
      <c r="AB6" s="5"/>
      <c r="AC6" s="5">
        <v>147</v>
      </c>
      <c r="AD6" s="5"/>
      <c r="AE6" s="5">
        <v>4979</v>
      </c>
      <c r="AF6" s="5">
        <v>1074</v>
      </c>
      <c r="AG6" s="5"/>
      <c r="AH6" s="5">
        <v>356</v>
      </c>
      <c r="AI6" s="5">
        <v>167</v>
      </c>
      <c r="AJ6" s="5">
        <v>1673</v>
      </c>
      <c r="AK6" s="5">
        <v>246</v>
      </c>
      <c r="AL6" s="5"/>
      <c r="AM6" s="3">
        <f t="shared" si="0"/>
        <v>9931.25</v>
      </c>
    </row>
    <row r="7" spans="1:40" x14ac:dyDescent="0.25">
      <c r="A7" s="4">
        <v>44317</v>
      </c>
      <c r="B7" s="5">
        <v>9648</v>
      </c>
      <c r="C7" s="5">
        <v>8465</v>
      </c>
      <c r="D7" s="5">
        <v>11046</v>
      </c>
      <c r="E7" s="5">
        <v>6243</v>
      </c>
      <c r="F7" s="5">
        <v>13984</v>
      </c>
      <c r="G7" s="5">
        <v>9148</v>
      </c>
      <c r="H7" s="5">
        <v>3353</v>
      </c>
      <c r="I7" s="5">
        <v>4041</v>
      </c>
      <c r="J7" s="5">
        <v>5207</v>
      </c>
      <c r="K7" s="5">
        <v>4266</v>
      </c>
      <c r="L7" s="5">
        <v>7576</v>
      </c>
      <c r="M7" s="5">
        <v>1162</v>
      </c>
      <c r="N7" s="5">
        <v>18298</v>
      </c>
      <c r="O7" s="5">
        <v>24712</v>
      </c>
      <c r="P7" s="5">
        <v>1523</v>
      </c>
      <c r="Q7" s="5">
        <v>2500</v>
      </c>
      <c r="R7" s="5">
        <v>6130</v>
      </c>
      <c r="S7" s="5">
        <v>2076</v>
      </c>
      <c r="T7" s="5">
        <v>292</v>
      </c>
      <c r="U7" s="5">
        <v>3312</v>
      </c>
      <c r="V7" s="5">
        <v>22083</v>
      </c>
      <c r="W7" s="5">
        <v>31695</v>
      </c>
      <c r="X7" s="5">
        <v>45554</v>
      </c>
      <c r="Y7" s="5">
        <v>42851</v>
      </c>
      <c r="Z7" s="5">
        <v>0</v>
      </c>
      <c r="AA7" s="5"/>
      <c r="AB7" s="5"/>
      <c r="AC7" s="5">
        <v>0</v>
      </c>
      <c r="AD7" s="5"/>
      <c r="AE7" s="5">
        <v>4926</v>
      </c>
      <c r="AF7" s="5">
        <v>1333</v>
      </c>
      <c r="AG7" s="5"/>
      <c r="AH7" s="5">
        <v>566</v>
      </c>
      <c r="AI7" s="5">
        <v>281</v>
      </c>
      <c r="AJ7" s="5">
        <v>1406</v>
      </c>
      <c r="AK7" s="5">
        <v>0</v>
      </c>
      <c r="AL7" s="5"/>
      <c r="AM7" s="3">
        <f t="shared" si="0"/>
        <v>9177.40625</v>
      </c>
    </row>
    <row r="8" spans="1:40" x14ac:dyDescent="0.25">
      <c r="A8" s="4">
        <v>44348</v>
      </c>
      <c r="B8" s="5">
        <v>10755</v>
      </c>
      <c r="C8" s="5">
        <v>9132</v>
      </c>
      <c r="D8" s="5">
        <v>11362</v>
      </c>
      <c r="E8" s="5">
        <v>6498</v>
      </c>
      <c r="F8" s="5">
        <v>15347</v>
      </c>
      <c r="G8" s="5">
        <v>10365</v>
      </c>
      <c r="H8" s="5">
        <v>4010</v>
      </c>
      <c r="I8" s="5">
        <v>4844</v>
      </c>
      <c r="J8" s="5">
        <v>6212</v>
      </c>
      <c r="K8" s="5">
        <v>5045</v>
      </c>
      <c r="L8" s="5">
        <v>9092</v>
      </c>
      <c r="M8" s="5">
        <v>1351</v>
      </c>
      <c r="N8" s="5">
        <v>19398</v>
      </c>
      <c r="O8" s="5">
        <v>26706</v>
      </c>
      <c r="P8" s="5">
        <v>1574</v>
      </c>
      <c r="Q8" s="5">
        <v>2806</v>
      </c>
      <c r="R8" s="5">
        <v>7064</v>
      </c>
      <c r="S8" s="5">
        <v>3218</v>
      </c>
      <c r="T8" s="5">
        <v>338</v>
      </c>
      <c r="U8" s="5">
        <v>3836</v>
      </c>
      <c r="V8" s="5">
        <v>23834</v>
      </c>
      <c r="W8" s="5">
        <v>35225</v>
      </c>
      <c r="X8" s="5">
        <v>53403</v>
      </c>
      <c r="Y8" s="5">
        <v>47727</v>
      </c>
      <c r="Z8" s="5">
        <v>0</v>
      </c>
      <c r="AA8" s="5"/>
      <c r="AB8" s="5"/>
      <c r="AC8" s="5">
        <v>0</v>
      </c>
      <c r="AD8" s="5"/>
      <c r="AE8" s="5">
        <v>5267</v>
      </c>
      <c r="AF8" s="5">
        <v>1817</v>
      </c>
      <c r="AG8" s="5"/>
      <c r="AH8" s="5">
        <v>766</v>
      </c>
      <c r="AI8" s="5">
        <v>405</v>
      </c>
      <c r="AJ8" s="5">
        <v>1651</v>
      </c>
      <c r="AK8" s="5">
        <v>0</v>
      </c>
      <c r="AL8" s="5"/>
      <c r="AM8" s="3">
        <f t="shared" si="0"/>
        <v>10282.75</v>
      </c>
    </row>
    <row r="9" spans="1:40" x14ac:dyDescent="0.25">
      <c r="A9" s="4">
        <v>44378</v>
      </c>
      <c r="B9" s="5">
        <v>10994</v>
      </c>
      <c r="C9" s="5">
        <v>9339</v>
      </c>
      <c r="D9" s="5">
        <v>11720</v>
      </c>
      <c r="E9" s="5">
        <v>6888</v>
      </c>
      <c r="F9" s="5">
        <v>15686</v>
      </c>
      <c r="G9" s="5">
        <v>10682</v>
      </c>
      <c r="H9" s="5">
        <v>3845</v>
      </c>
      <c r="I9" s="5">
        <v>4492</v>
      </c>
      <c r="J9" s="5">
        <v>6037</v>
      </c>
      <c r="K9" s="5">
        <v>5505</v>
      </c>
      <c r="L9" s="5">
        <v>9519</v>
      </c>
      <c r="M9" s="5">
        <v>1215</v>
      </c>
      <c r="N9" s="5">
        <v>19593</v>
      </c>
      <c r="O9" s="5">
        <v>27509</v>
      </c>
      <c r="P9" s="5">
        <v>1405</v>
      </c>
      <c r="Q9" s="5">
        <v>2913</v>
      </c>
      <c r="R9" s="5">
        <v>7266</v>
      </c>
      <c r="S9" s="5">
        <v>3630</v>
      </c>
      <c r="T9" s="5">
        <v>386</v>
      </c>
      <c r="U9" s="5">
        <v>3729</v>
      </c>
      <c r="V9" s="5">
        <v>24989</v>
      </c>
      <c r="W9" s="5">
        <v>37343</v>
      </c>
      <c r="X9" s="5">
        <v>59494</v>
      </c>
      <c r="Y9" s="5">
        <v>49155</v>
      </c>
      <c r="Z9" s="5">
        <v>0</v>
      </c>
      <c r="AA9" s="5"/>
      <c r="AB9" s="5"/>
      <c r="AC9" s="5">
        <v>0</v>
      </c>
      <c r="AD9" s="5"/>
      <c r="AE9" s="5">
        <v>5156</v>
      </c>
      <c r="AF9" s="5">
        <v>1857</v>
      </c>
      <c r="AG9" s="5"/>
      <c r="AH9" s="5">
        <v>815</v>
      </c>
      <c r="AI9" s="5">
        <v>475</v>
      </c>
      <c r="AJ9" s="5">
        <v>1646</v>
      </c>
      <c r="AK9" s="5">
        <v>0</v>
      </c>
      <c r="AL9" s="6"/>
      <c r="AM9" s="3">
        <f t="shared" si="0"/>
        <v>10727.59375</v>
      </c>
    </row>
    <row r="10" spans="1:40" x14ac:dyDescent="0.25">
      <c r="A10" s="4">
        <v>44409</v>
      </c>
      <c r="B10" s="5">
        <v>13194</v>
      </c>
      <c r="C10" s="5">
        <v>11405</v>
      </c>
      <c r="D10" s="5">
        <v>15529</v>
      </c>
      <c r="E10" s="5">
        <v>8398</v>
      </c>
      <c r="F10" s="5">
        <v>21341</v>
      </c>
      <c r="G10" s="5">
        <v>12136</v>
      </c>
      <c r="H10" s="5">
        <v>4039</v>
      </c>
      <c r="I10" s="5">
        <v>4826</v>
      </c>
      <c r="J10" s="5">
        <v>6897</v>
      </c>
      <c r="K10" s="5">
        <v>6276</v>
      </c>
      <c r="L10" s="5">
        <v>11188</v>
      </c>
      <c r="M10" s="5">
        <v>1599</v>
      </c>
      <c r="N10" s="5">
        <v>20647</v>
      </c>
      <c r="O10" s="5">
        <v>30704</v>
      </c>
      <c r="P10" s="5">
        <v>2032</v>
      </c>
      <c r="Q10" s="5">
        <v>3318</v>
      </c>
      <c r="R10" s="5">
        <v>7555</v>
      </c>
      <c r="S10" s="5">
        <v>3471</v>
      </c>
      <c r="T10" s="5">
        <v>844</v>
      </c>
      <c r="U10" s="5">
        <v>3951</v>
      </c>
      <c r="V10" s="5">
        <v>28076</v>
      </c>
      <c r="W10" s="5">
        <v>40794</v>
      </c>
      <c r="X10" s="5">
        <v>67353</v>
      </c>
      <c r="Y10" s="5">
        <v>54630</v>
      </c>
      <c r="Z10" s="5">
        <v>0</v>
      </c>
      <c r="AA10" s="5"/>
      <c r="AB10" s="5"/>
      <c r="AC10" s="5">
        <v>0</v>
      </c>
      <c r="AD10" s="5"/>
      <c r="AE10" s="5">
        <v>5048</v>
      </c>
      <c r="AF10" s="5">
        <v>2091</v>
      </c>
      <c r="AG10" s="5"/>
      <c r="AH10" s="5">
        <v>1094</v>
      </c>
      <c r="AI10" s="5">
        <v>500</v>
      </c>
      <c r="AJ10" s="5">
        <v>2047</v>
      </c>
      <c r="AK10" s="5">
        <v>0</v>
      </c>
      <c r="AL10" s="5"/>
      <c r="AM10" s="3">
        <f t="shared" si="0"/>
        <v>12218.21875</v>
      </c>
    </row>
    <row r="11" spans="1:40" x14ac:dyDescent="0.25">
      <c r="A11" s="4">
        <v>44440</v>
      </c>
      <c r="B11" s="5">
        <v>13757</v>
      </c>
      <c r="C11" s="5">
        <v>11450</v>
      </c>
      <c r="D11" s="5">
        <v>16904</v>
      </c>
      <c r="E11" s="5">
        <v>8751</v>
      </c>
      <c r="F11" s="5">
        <v>22891</v>
      </c>
      <c r="G11" s="5">
        <v>12271</v>
      </c>
      <c r="H11" s="5">
        <v>4158</v>
      </c>
      <c r="I11" s="5">
        <v>4959</v>
      </c>
      <c r="J11" s="5">
        <v>7442</v>
      </c>
      <c r="K11" s="5">
        <v>6059</v>
      </c>
      <c r="L11" s="5">
        <v>11996</v>
      </c>
      <c r="M11" s="5">
        <v>1667</v>
      </c>
      <c r="N11" s="5">
        <v>21047</v>
      </c>
      <c r="O11" s="5">
        <v>32895</v>
      </c>
      <c r="P11" s="5">
        <v>2268</v>
      </c>
      <c r="Q11" s="5">
        <v>3323</v>
      </c>
      <c r="R11" s="5">
        <v>7873</v>
      </c>
      <c r="S11" s="5">
        <v>3079</v>
      </c>
      <c r="T11" s="5">
        <v>1049</v>
      </c>
      <c r="U11" s="5">
        <v>4045</v>
      </c>
      <c r="V11" s="5">
        <v>30783</v>
      </c>
      <c r="W11" s="5">
        <v>41610</v>
      </c>
      <c r="X11" s="5">
        <v>70225</v>
      </c>
      <c r="Y11" s="5">
        <v>56263</v>
      </c>
      <c r="Z11" s="5">
        <v>10</v>
      </c>
      <c r="AA11" s="5"/>
      <c r="AB11" s="5"/>
      <c r="AC11" s="5">
        <v>0</v>
      </c>
      <c r="AD11" s="5"/>
      <c r="AE11" s="5">
        <v>5401</v>
      </c>
      <c r="AF11" s="5">
        <v>1940</v>
      </c>
      <c r="AG11" s="5"/>
      <c r="AH11" s="5">
        <v>1234</v>
      </c>
      <c r="AI11" s="5">
        <v>389</v>
      </c>
      <c r="AJ11" s="5">
        <v>1857</v>
      </c>
      <c r="AK11" s="5">
        <v>0</v>
      </c>
      <c r="AL11" s="5"/>
      <c r="AM11" s="3">
        <f t="shared" si="0"/>
        <v>12737.375</v>
      </c>
    </row>
    <row r="12" spans="1:40" x14ac:dyDescent="0.25">
      <c r="A12" s="4">
        <v>44470</v>
      </c>
      <c r="B12" s="5">
        <v>13937</v>
      </c>
      <c r="C12" s="5">
        <v>10989</v>
      </c>
      <c r="D12" s="5">
        <v>15858</v>
      </c>
      <c r="E12" s="5">
        <v>8298</v>
      </c>
      <c r="F12" s="5">
        <v>21632</v>
      </c>
      <c r="G12" s="5">
        <v>12185</v>
      </c>
      <c r="H12" s="5">
        <v>4749</v>
      </c>
      <c r="I12" s="5">
        <v>5104</v>
      </c>
      <c r="J12" s="5">
        <v>7350</v>
      </c>
      <c r="K12" s="5">
        <v>6401</v>
      </c>
      <c r="L12" s="5">
        <v>11580</v>
      </c>
      <c r="M12" s="5">
        <v>1580</v>
      </c>
      <c r="N12" s="5">
        <v>21495</v>
      </c>
      <c r="O12" s="5">
        <v>32202</v>
      </c>
      <c r="P12" s="5">
        <v>1952</v>
      </c>
      <c r="Q12" s="5">
        <v>3413</v>
      </c>
      <c r="R12" s="5">
        <v>7716</v>
      </c>
      <c r="S12" s="5">
        <v>3446</v>
      </c>
      <c r="T12" s="5">
        <v>959</v>
      </c>
      <c r="U12" s="5">
        <v>3799</v>
      </c>
      <c r="V12" s="5">
        <v>31349</v>
      </c>
      <c r="W12" s="5">
        <v>40857</v>
      </c>
      <c r="X12" s="5">
        <v>69184</v>
      </c>
      <c r="Y12" s="5">
        <v>53887</v>
      </c>
      <c r="Z12" s="5">
        <v>269</v>
      </c>
      <c r="AA12" s="5"/>
      <c r="AB12" s="5"/>
      <c r="AC12" s="5">
        <v>0</v>
      </c>
      <c r="AD12" s="5"/>
      <c r="AE12" s="5">
        <v>5541</v>
      </c>
      <c r="AF12" s="5">
        <v>2022</v>
      </c>
      <c r="AG12" s="5"/>
      <c r="AH12" s="5">
        <v>1304</v>
      </c>
      <c r="AI12" s="5">
        <v>567</v>
      </c>
      <c r="AJ12" s="5">
        <v>1790</v>
      </c>
      <c r="AK12" s="5">
        <v>0</v>
      </c>
      <c r="AL12" s="5">
        <v>9</v>
      </c>
      <c r="AM12" s="3">
        <f t="shared" si="0"/>
        <v>12164.363636363636</v>
      </c>
    </row>
    <row r="13" spans="1:40" x14ac:dyDescent="0.25">
      <c r="A13" s="4">
        <v>44501</v>
      </c>
      <c r="B13" s="5">
        <v>13899</v>
      </c>
      <c r="C13" s="5">
        <v>11578</v>
      </c>
      <c r="D13" s="5">
        <v>15901</v>
      </c>
      <c r="E13" s="5">
        <v>8502</v>
      </c>
      <c r="F13" s="5">
        <v>21317</v>
      </c>
      <c r="G13" s="5">
        <v>12888</v>
      </c>
      <c r="H13" s="5">
        <v>5063</v>
      </c>
      <c r="I13" s="5">
        <v>5163</v>
      </c>
      <c r="J13" s="5">
        <v>6816</v>
      </c>
      <c r="K13" s="5">
        <v>6391</v>
      </c>
      <c r="L13" s="5">
        <v>12135</v>
      </c>
      <c r="M13" s="5">
        <v>1555</v>
      </c>
      <c r="N13" s="5">
        <v>22095</v>
      </c>
      <c r="O13" s="5">
        <v>32739</v>
      </c>
      <c r="P13" s="5">
        <v>1968</v>
      </c>
      <c r="Q13" s="5">
        <v>3447</v>
      </c>
      <c r="R13" s="5">
        <v>7625</v>
      </c>
      <c r="S13" s="5">
        <v>3427</v>
      </c>
      <c r="T13" s="5">
        <v>1148</v>
      </c>
      <c r="U13" s="5">
        <v>3709</v>
      </c>
      <c r="V13" s="5">
        <v>32703</v>
      </c>
      <c r="W13" s="5">
        <v>39952</v>
      </c>
      <c r="X13" s="5">
        <v>71336</v>
      </c>
      <c r="Y13" s="5">
        <v>57231</v>
      </c>
      <c r="Z13" s="5">
        <v>107</v>
      </c>
      <c r="AA13" s="5"/>
      <c r="AB13" s="5"/>
      <c r="AC13" s="5">
        <v>0</v>
      </c>
      <c r="AD13" s="5"/>
      <c r="AE13" s="5">
        <v>5562</v>
      </c>
      <c r="AF13" s="5">
        <v>1843</v>
      </c>
      <c r="AG13" s="5"/>
      <c r="AH13" s="5">
        <v>1319</v>
      </c>
      <c r="AI13" s="5">
        <v>560</v>
      </c>
      <c r="AJ13" s="5">
        <v>2426</v>
      </c>
      <c r="AK13" s="5">
        <v>0</v>
      </c>
      <c r="AL13" s="5">
        <v>43</v>
      </c>
      <c r="AM13" s="3">
        <f t="shared" si="0"/>
        <v>12437.818181818182</v>
      </c>
    </row>
    <row r="14" spans="1:40" x14ac:dyDescent="0.25">
      <c r="A14" s="4">
        <v>44531</v>
      </c>
      <c r="B14" s="5">
        <v>13077</v>
      </c>
      <c r="C14" s="5">
        <v>10813</v>
      </c>
      <c r="D14" s="5">
        <v>14275</v>
      </c>
      <c r="E14" s="5">
        <v>7860</v>
      </c>
      <c r="F14" s="5">
        <v>19145</v>
      </c>
      <c r="G14" s="5">
        <v>14585</v>
      </c>
      <c r="H14" s="5">
        <v>5059</v>
      </c>
      <c r="I14" s="5">
        <v>5279</v>
      </c>
      <c r="J14" s="5">
        <v>6904</v>
      </c>
      <c r="K14" s="5">
        <v>6198</v>
      </c>
      <c r="L14" s="5">
        <v>10713</v>
      </c>
      <c r="M14" s="5">
        <v>1266</v>
      </c>
      <c r="N14" s="5">
        <v>21606</v>
      </c>
      <c r="O14" s="5">
        <v>32083</v>
      </c>
      <c r="P14" s="5">
        <v>1612</v>
      </c>
      <c r="Q14" s="5">
        <v>3338</v>
      </c>
      <c r="R14" s="5">
        <v>7463</v>
      </c>
      <c r="S14" s="5">
        <v>4095</v>
      </c>
      <c r="T14" s="5">
        <v>858</v>
      </c>
      <c r="U14" s="5">
        <v>3922</v>
      </c>
      <c r="V14" s="5">
        <v>31933</v>
      </c>
      <c r="W14" s="5">
        <v>40676</v>
      </c>
      <c r="X14" s="5">
        <v>70145</v>
      </c>
      <c r="Y14" s="5">
        <v>56589</v>
      </c>
      <c r="Z14" s="5">
        <v>121</v>
      </c>
      <c r="AA14" s="5"/>
      <c r="AB14" s="5"/>
      <c r="AC14" s="5">
        <v>0</v>
      </c>
      <c r="AD14" s="5"/>
      <c r="AE14" s="5">
        <v>5793</v>
      </c>
      <c r="AF14" s="5">
        <v>1929</v>
      </c>
      <c r="AG14" s="5"/>
      <c r="AH14" s="5">
        <v>1075</v>
      </c>
      <c r="AI14" s="5">
        <v>577</v>
      </c>
      <c r="AJ14" s="5">
        <v>1615</v>
      </c>
      <c r="AK14" s="5">
        <v>0</v>
      </c>
      <c r="AL14" s="5">
        <v>47</v>
      </c>
      <c r="AM14" s="3">
        <f t="shared" si="0"/>
        <v>12140.939393939394</v>
      </c>
    </row>
    <row r="15" spans="1:40" x14ac:dyDescent="0.25">
      <c r="A15" s="4">
        <v>44562</v>
      </c>
      <c r="B15" s="5">
        <v>11911</v>
      </c>
      <c r="C15" s="5">
        <v>10063</v>
      </c>
      <c r="D15" s="5">
        <v>13105</v>
      </c>
      <c r="E15" s="5">
        <v>7034</v>
      </c>
      <c r="F15" s="5">
        <v>18175</v>
      </c>
      <c r="G15" s="5">
        <v>12173</v>
      </c>
      <c r="H15" s="5">
        <v>4441</v>
      </c>
      <c r="I15" s="5">
        <v>4618</v>
      </c>
      <c r="J15" s="5">
        <v>6050</v>
      </c>
      <c r="K15" s="5">
        <v>5156</v>
      </c>
      <c r="L15" s="5">
        <v>9699</v>
      </c>
      <c r="M15" s="5">
        <v>1110</v>
      </c>
      <c r="N15" s="5">
        <v>19440</v>
      </c>
      <c r="O15" s="5">
        <v>32660</v>
      </c>
      <c r="P15" s="5">
        <v>1705</v>
      </c>
      <c r="Q15" s="5">
        <v>2964</v>
      </c>
      <c r="R15" s="5">
        <v>6470</v>
      </c>
      <c r="S15" s="5">
        <v>2699</v>
      </c>
      <c r="T15" s="5">
        <v>898</v>
      </c>
      <c r="U15" s="5">
        <v>3261</v>
      </c>
      <c r="V15" s="5">
        <v>28367</v>
      </c>
      <c r="W15" s="5">
        <v>34594</v>
      </c>
      <c r="X15" s="5">
        <v>59488</v>
      </c>
      <c r="Y15" s="5">
        <v>49928</v>
      </c>
      <c r="Z15" s="5">
        <v>67</v>
      </c>
      <c r="AA15" s="5"/>
      <c r="AB15" s="5"/>
      <c r="AC15" s="5">
        <v>0</v>
      </c>
      <c r="AD15" s="5"/>
      <c r="AE15" s="5">
        <v>4515</v>
      </c>
      <c r="AF15" s="5">
        <v>1661</v>
      </c>
      <c r="AG15" s="5"/>
      <c r="AH15" s="5">
        <v>1019</v>
      </c>
      <c r="AI15" s="5">
        <v>471</v>
      </c>
      <c r="AJ15" s="5">
        <v>1558</v>
      </c>
      <c r="AK15" s="5">
        <v>0</v>
      </c>
      <c r="AL15" s="5">
        <v>9</v>
      </c>
      <c r="AM15" s="3">
        <f t="shared" si="0"/>
        <v>10766.939393939394</v>
      </c>
    </row>
    <row r="16" spans="1:40" x14ac:dyDescent="0.25">
      <c r="A16" s="4">
        <v>44593</v>
      </c>
      <c r="B16" s="5">
        <v>13091</v>
      </c>
      <c r="C16" s="5">
        <v>10583</v>
      </c>
      <c r="D16" s="5">
        <v>14612</v>
      </c>
      <c r="E16" s="5">
        <v>7141</v>
      </c>
      <c r="F16" s="5">
        <v>20088</v>
      </c>
      <c r="G16" s="5">
        <v>13489</v>
      </c>
      <c r="H16" s="5">
        <v>4839</v>
      </c>
      <c r="I16" s="5">
        <v>4857</v>
      </c>
      <c r="J16" s="5">
        <v>6643</v>
      </c>
      <c r="K16" s="5">
        <v>5422</v>
      </c>
      <c r="L16" s="5">
        <v>11127</v>
      </c>
      <c r="M16" s="5">
        <v>1355</v>
      </c>
      <c r="N16" s="5">
        <v>20320</v>
      </c>
      <c r="O16" s="5">
        <v>32766</v>
      </c>
      <c r="P16" s="5">
        <v>2185</v>
      </c>
      <c r="Q16" s="5">
        <v>2907</v>
      </c>
      <c r="R16" s="5">
        <v>6810</v>
      </c>
      <c r="S16" s="5">
        <v>2780</v>
      </c>
      <c r="T16" s="5">
        <v>1123</v>
      </c>
      <c r="U16" s="5">
        <v>3496</v>
      </c>
      <c r="V16" s="5">
        <v>29644</v>
      </c>
      <c r="W16" s="5">
        <v>37396</v>
      </c>
      <c r="X16" s="5">
        <v>63055</v>
      </c>
      <c r="Y16" s="5">
        <v>54474</v>
      </c>
      <c r="Z16" s="5">
        <v>130</v>
      </c>
      <c r="AA16" s="5"/>
      <c r="AB16" s="5"/>
      <c r="AC16" s="5">
        <v>0</v>
      </c>
      <c r="AD16" s="5"/>
      <c r="AE16" s="5">
        <v>5024</v>
      </c>
      <c r="AF16" s="5">
        <v>1911</v>
      </c>
      <c r="AG16" s="5"/>
      <c r="AH16" s="5">
        <v>1342</v>
      </c>
      <c r="AI16" s="5">
        <v>447</v>
      </c>
      <c r="AJ16" s="5">
        <v>2301</v>
      </c>
      <c r="AK16" s="5">
        <v>0</v>
      </c>
      <c r="AL16" s="5">
        <v>19</v>
      </c>
      <c r="AM16" s="3">
        <f t="shared" si="0"/>
        <v>11556.878787878788</v>
      </c>
    </row>
    <row r="17" spans="1:39" x14ac:dyDescent="0.25">
      <c r="A17" s="4">
        <v>44621</v>
      </c>
      <c r="B17" s="5">
        <v>15494</v>
      </c>
      <c r="C17" s="5">
        <v>12138</v>
      </c>
      <c r="D17" s="5">
        <v>18542</v>
      </c>
      <c r="E17" s="5">
        <v>9972</v>
      </c>
      <c r="F17" s="5">
        <v>25207</v>
      </c>
      <c r="G17" s="5">
        <v>15535</v>
      </c>
      <c r="H17" s="5">
        <v>5718</v>
      </c>
      <c r="I17" s="5">
        <v>6095</v>
      </c>
      <c r="J17" s="5">
        <v>7730</v>
      </c>
      <c r="K17" s="5">
        <v>7761</v>
      </c>
      <c r="L17" s="5">
        <v>12886</v>
      </c>
      <c r="M17" s="5">
        <v>1611</v>
      </c>
      <c r="N17" s="5">
        <v>24347</v>
      </c>
      <c r="O17" s="5">
        <v>37299</v>
      </c>
      <c r="P17" s="5">
        <v>2376</v>
      </c>
      <c r="Q17" s="5">
        <v>3520</v>
      </c>
      <c r="R17" s="5">
        <v>8380</v>
      </c>
      <c r="S17" s="5">
        <v>4605</v>
      </c>
      <c r="T17" s="5">
        <v>1296</v>
      </c>
      <c r="U17" s="5">
        <v>4399</v>
      </c>
      <c r="V17" s="5">
        <v>35789</v>
      </c>
      <c r="W17" s="5">
        <v>48192</v>
      </c>
      <c r="X17" s="5">
        <v>80338</v>
      </c>
      <c r="Y17" s="5">
        <v>65253</v>
      </c>
      <c r="Z17" s="5">
        <v>249</v>
      </c>
      <c r="AA17" s="5"/>
      <c r="AB17" s="5"/>
      <c r="AC17" s="5">
        <v>0</v>
      </c>
      <c r="AD17" s="5"/>
      <c r="AE17" s="5">
        <v>5810</v>
      </c>
      <c r="AF17" s="5">
        <v>2227</v>
      </c>
      <c r="AG17" s="5"/>
      <c r="AH17" s="5">
        <v>1716</v>
      </c>
      <c r="AI17" s="5">
        <v>559</v>
      </c>
      <c r="AJ17" s="5">
        <v>2473</v>
      </c>
      <c r="AK17" s="5">
        <v>0</v>
      </c>
      <c r="AL17" s="5">
        <v>38</v>
      </c>
      <c r="AM17" s="3">
        <f t="shared" si="0"/>
        <v>14168.333333333334</v>
      </c>
    </row>
    <row r="18" spans="1:39" x14ac:dyDescent="0.25">
      <c r="A18" s="4">
        <v>44652</v>
      </c>
      <c r="B18" s="5">
        <v>31739</v>
      </c>
      <c r="C18" s="5">
        <v>12358</v>
      </c>
      <c r="D18" s="5">
        <v>1382</v>
      </c>
      <c r="E18" s="5">
        <v>9543</v>
      </c>
      <c r="F18" s="5">
        <v>23615</v>
      </c>
      <c r="G18" s="5">
        <v>13461</v>
      </c>
      <c r="H18" s="5">
        <v>5774</v>
      </c>
      <c r="I18" s="5">
        <v>5995</v>
      </c>
      <c r="J18" s="5">
        <v>8799</v>
      </c>
      <c r="K18" s="5">
        <v>7431</v>
      </c>
      <c r="L18" s="5">
        <v>11511</v>
      </c>
      <c r="M18" s="5">
        <v>82</v>
      </c>
      <c r="N18" s="5">
        <v>22256</v>
      </c>
      <c r="O18" s="5">
        <v>34252</v>
      </c>
      <c r="P18" s="5">
        <v>76</v>
      </c>
      <c r="Q18" s="5">
        <v>3696</v>
      </c>
      <c r="R18" s="5">
        <v>7793</v>
      </c>
      <c r="S18" s="5">
        <v>4408</v>
      </c>
      <c r="T18" s="5">
        <v>1217</v>
      </c>
      <c r="U18" s="5">
        <v>4404</v>
      </c>
      <c r="V18" s="5">
        <v>33037</v>
      </c>
      <c r="W18" s="5">
        <v>45836</v>
      </c>
      <c r="X18" s="5">
        <v>75912</v>
      </c>
      <c r="Y18" s="5">
        <v>60139</v>
      </c>
      <c r="Z18" s="5">
        <v>235</v>
      </c>
      <c r="AA18" s="5"/>
      <c r="AB18" s="5"/>
      <c r="AC18" s="5">
        <v>0</v>
      </c>
      <c r="AD18" s="5">
        <v>1920</v>
      </c>
      <c r="AE18" s="5">
        <v>5036</v>
      </c>
      <c r="AF18" s="5">
        <v>3462</v>
      </c>
      <c r="AG18" s="5">
        <v>1069</v>
      </c>
      <c r="AH18" s="5">
        <v>1673</v>
      </c>
      <c r="AI18" s="5">
        <v>585</v>
      </c>
      <c r="AJ18" s="5">
        <v>2692</v>
      </c>
      <c r="AK18" s="5">
        <v>0</v>
      </c>
      <c r="AL18" s="5">
        <v>28</v>
      </c>
      <c r="AM18" s="3">
        <f t="shared" si="0"/>
        <v>12611.885714285714</v>
      </c>
    </row>
    <row r="19" spans="1:39" x14ac:dyDescent="0.25">
      <c r="A19" s="4">
        <v>44682</v>
      </c>
      <c r="B19" s="5">
        <v>33732</v>
      </c>
      <c r="C19" s="5">
        <v>13059</v>
      </c>
      <c r="D19" s="5">
        <v>0</v>
      </c>
      <c r="E19" s="5">
        <v>10163</v>
      </c>
      <c r="F19" s="5">
        <v>23841</v>
      </c>
      <c r="G19" s="5">
        <v>14557</v>
      </c>
      <c r="H19" s="5">
        <v>5965</v>
      </c>
      <c r="I19" s="5">
        <v>5961</v>
      </c>
      <c r="J19" s="5">
        <v>8850</v>
      </c>
      <c r="K19" s="5">
        <v>7887</v>
      </c>
      <c r="L19" s="5">
        <v>12775</v>
      </c>
      <c r="M19" s="5">
        <v>0</v>
      </c>
      <c r="N19" s="5">
        <v>24312</v>
      </c>
      <c r="O19" s="5">
        <v>36798</v>
      </c>
      <c r="P19" s="5">
        <v>0</v>
      </c>
      <c r="Q19" s="5">
        <v>4349</v>
      </c>
      <c r="R19" s="5">
        <v>8428</v>
      </c>
      <c r="S19" s="5">
        <v>4728</v>
      </c>
      <c r="T19" s="5">
        <v>1059</v>
      </c>
      <c r="U19" s="5">
        <v>4768</v>
      </c>
      <c r="V19" s="5">
        <v>36832</v>
      </c>
      <c r="W19" s="5">
        <v>50829</v>
      </c>
      <c r="X19" s="5">
        <v>83894</v>
      </c>
      <c r="Y19" s="5">
        <v>64499</v>
      </c>
      <c r="Z19" s="5">
        <v>281</v>
      </c>
      <c r="AA19" s="5"/>
      <c r="AB19" s="5"/>
      <c r="AC19" s="5">
        <v>0</v>
      </c>
      <c r="AD19" s="5">
        <v>1747</v>
      </c>
      <c r="AE19" s="5">
        <v>5659</v>
      </c>
      <c r="AF19" s="5">
        <v>3663</v>
      </c>
      <c r="AG19" s="5">
        <v>2026</v>
      </c>
      <c r="AH19" s="5">
        <v>1779</v>
      </c>
      <c r="AI19" s="5">
        <v>516</v>
      </c>
      <c r="AJ19" s="5">
        <v>2448</v>
      </c>
      <c r="AK19" s="5">
        <v>0</v>
      </c>
      <c r="AL19" s="5">
        <v>41</v>
      </c>
      <c r="AM19" s="3">
        <f t="shared" si="0"/>
        <v>13584.171428571428</v>
      </c>
    </row>
    <row r="20" spans="1:39" x14ac:dyDescent="0.25">
      <c r="A20" s="4">
        <v>44713</v>
      </c>
      <c r="B20" s="5">
        <v>32371</v>
      </c>
      <c r="C20" s="5">
        <v>11712</v>
      </c>
      <c r="D20" s="5">
        <v>0</v>
      </c>
      <c r="E20" s="5">
        <v>9675</v>
      </c>
      <c r="F20" s="5">
        <v>22689</v>
      </c>
      <c r="G20" s="5">
        <v>14686</v>
      </c>
      <c r="H20" s="5">
        <v>5853</v>
      </c>
      <c r="I20" s="5">
        <v>5484</v>
      </c>
      <c r="J20" s="5">
        <v>8552</v>
      </c>
      <c r="K20" s="5">
        <v>8595</v>
      </c>
      <c r="L20" s="5">
        <v>12346</v>
      </c>
      <c r="M20" s="5">
        <v>0</v>
      </c>
      <c r="N20" s="5">
        <v>22852</v>
      </c>
      <c r="O20" s="5">
        <v>34946</v>
      </c>
      <c r="P20" s="5">
        <v>0</v>
      </c>
      <c r="Q20" s="5">
        <v>4493</v>
      </c>
      <c r="R20" s="5">
        <v>9057</v>
      </c>
      <c r="S20" s="5">
        <v>5893</v>
      </c>
      <c r="T20" s="5">
        <v>766</v>
      </c>
      <c r="U20" s="5">
        <v>4569</v>
      </c>
      <c r="V20" s="5">
        <v>33092</v>
      </c>
      <c r="W20" s="5">
        <v>50170</v>
      </c>
      <c r="X20" s="5">
        <v>81565</v>
      </c>
      <c r="Y20" s="5">
        <v>59631</v>
      </c>
      <c r="Z20" s="5">
        <v>250</v>
      </c>
      <c r="AA20" s="5"/>
      <c r="AB20" s="5"/>
      <c r="AC20" s="5">
        <v>0</v>
      </c>
      <c r="AD20" s="5">
        <v>1707</v>
      </c>
      <c r="AE20" s="5">
        <v>5472</v>
      </c>
      <c r="AF20" s="5">
        <v>4127</v>
      </c>
      <c r="AG20" s="5">
        <v>2568</v>
      </c>
      <c r="AH20" s="5">
        <v>1807</v>
      </c>
      <c r="AI20" s="5">
        <v>499</v>
      </c>
      <c r="AJ20" s="5">
        <v>2197</v>
      </c>
      <c r="AK20" s="5">
        <v>0</v>
      </c>
      <c r="AL20" s="5">
        <v>25</v>
      </c>
      <c r="AM20" s="3">
        <f t="shared" si="0"/>
        <v>13075.685714285713</v>
      </c>
    </row>
    <row r="21" spans="1:39" x14ac:dyDescent="0.25">
      <c r="A21" s="4">
        <v>44743</v>
      </c>
      <c r="B21" s="5">
        <v>32102</v>
      </c>
      <c r="C21" s="5">
        <v>11147</v>
      </c>
      <c r="D21" s="5">
        <v>0</v>
      </c>
      <c r="E21" s="5">
        <v>9430</v>
      </c>
      <c r="F21" s="5">
        <v>21978</v>
      </c>
      <c r="G21" s="5">
        <v>14364</v>
      </c>
      <c r="H21" s="5">
        <v>5784</v>
      </c>
      <c r="I21" s="5">
        <v>4823</v>
      </c>
      <c r="J21" s="5">
        <v>8171</v>
      </c>
      <c r="K21" s="5">
        <v>8241</v>
      </c>
      <c r="L21" s="5">
        <v>11914</v>
      </c>
      <c r="M21" s="5">
        <v>0</v>
      </c>
      <c r="N21" s="5">
        <v>22860</v>
      </c>
      <c r="O21" s="5">
        <v>33765</v>
      </c>
      <c r="P21" s="5">
        <v>0</v>
      </c>
      <c r="Q21" s="5">
        <v>3904</v>
      </c>
      <c r="R21" s="5">
        <v>8399</v>
      </c>
      <c r="S21" s="5">
        <v>5231</v>
      </c>
      <c r="T21" s="5">
        <v>657</v>
      </c>
      <c r="U21" s="5">
        <v>4341</v>
      </c>
      <c r="V21" s="5">
        <v>31095</v>
      </c>
      <c r="W21" s="5">
        <v>48649</v>
      </c>
      <c r="X21" s="5">
        <v>80342</v>
      </c>
      <c r="Y21" s="5">
        <v>56316</v>
      </c>
      <c r="Z21" s="5">
        <v>246</v>
      </c>
      <c r="AA21" s="5"/>
      <c r="AB21" s="5"/>
      <c r="AC21" s="5">
        <v>0</v>
      </c>
      <c r="AD21" s="5">
        <v>1391</v>
      </c>
      <c r="AE21" s="5">
        <v>4679</v>
      </c>
      <c r="AF21" s="5">
        <v>4062</v>
      </c>
      <c r="AG21" s="5">
        <v>2301</v>
      </c>
      <c r="AH21" s="5">
        <v>1621</v>
      </c>
      <c r="AI21" s="5">
        <v>508</v>
      </c>
      <c r="AJ21" s="5">
        <v>1987</v>
      </c>
      <c r="AK21" s="5">
        <v>0</v>
      </c>
      <c r="AL21" s="5">
        <v>34</v>
      </c>
      <c r="AM21" s="3">
        <f t="shared" si="0"/>
        <v>12581.2</v>
      </c>
    </row>
    <row r="22" spans="1:39" x14ac:dyDescent="0.25">
      <c r="A22" s="4">
        <v>44774</v>
      </c>
      <c r="B22" s="5">
        <v>43177</v>
      </c>
      <c r="C22" s="5">
        <v>16163</v>
      </c>
      <c r="D22" s="5">
        <v>0</v>
      </c>
      <c r="E22" s="5">
        <v>12909</v>
      </c>
      <c r="F22" s="5">
        <v>30036</v>
      </c>
      <c r="G22" s="5">
        <v>17969</v>
      </c>
      <c r="H22" s="5">
        <v>7511</v>
      </c>
      <c r="I22" s="5">
        <v>5840</v>
      </c>
      <c r="J22" s="5">
        <v>10870</v>
      </c>
      <c r="K22" s="5">
        <v>9637</v>
      </c>
      <c r="L22" s="5">
        <v>16320</v>
      </c>
      <c r="M22" s="5">
        <v>0</v>
      </c>
      <c r="N22" s="5">
        <v>28400</v>
      </c>
      <c r="O22" s="5">
        <v>43887</v>
      </c>
      <c r="P22" s="5">
        <v>0</v>
      </c>
      <c r="Q22" s="5">
        <v>5161</v>
      </c>
      <c r="R22" s="5">
        <v>10804</v>
      </c>
      <c r="S22" s="5">
        <v>5873</v>
      </c>
      <c r="T22" s="5">
        <v>1329</v>
      </c>
      <c r="U22" s="5">
        <v>5673</v>
      </c>
      <c r="V22" s="5">
        <v>43305</v>
      </c>
      <c r="W22" s="5">
        <v>58176</v>
      </c>
      <c r="X22" s="5">
        <v>99477</v>
      </c>
      <c r="Y22" s="5">
        <v>75453</v>
      </c>
      <c r="Z22" s="5">
        <v>270</v>
      </c>
      <c r="AA22" s="5"/>
      <c r="AB22" s="5"/>
      <c r="AC22" s="5">
        <v>0</v>
      </c>
      <c r="AD22" s="5">
        <v>2099</v>
      </c>
      <c r="AE22" s="5">
        <v>6042</v>
      </c>
      <c r="AF22" s="5">
        <v>5143</v>
      </c>
      <c r="AG22" s="5">
        <v>3321</v>
      </c>
      <c r="AH22" s="5">
        <v>2036</v>
      </c>
      <c r="AI22" s="5">
        <v>652</v>
      </c>
      <c r="AJ22" s="5">
        <v>2982</v>
      </c>
      <c r="AK22" s="5">
        <v>0</v>
      </c>
      <c r="AL22" s="5">
        <v>68</v>
      </c>
      <c r="AM22" s="3">
        <f t="shared" si="0"/>
        <v>16302.371428571429</v>
      </c>
    </row>
    <row r="23" spans="1:39" x14ac:dyDescent="0.25">
      <c r="A23" s="4">
        <v>44805</v>
      </c>
      <c r="B23" s="5">
        <v>43540</v>
      </c>
      <c r="C23" s="5">
        <v>16047</v>
      </c>
      <c r="D23" s="5">
        <v>0</v>
      </c>
      <c r="E23" s="5">
        <v>13141</v>
      </c>
      <c r="F23" s="5">
        <v>30907</v>
      </c>
      <c r="G23" s="5">
        <v>16805</v>
      </c>
      <c r="H23" s="5">
        <v>7217</v>
      </c>
      <c r="I23" s="5">
        <v>6238</v>
      </c>
      <c r="J23" s="5">
        <v>11501</v>
      </c>
      <c r="K23" s="5">
        <v>9916</v>
      </c>
      <c r="L23" s="5">
        <v>16406</v>
      </c>
      <c r="M23" s="5">
        <v>0</v>
      </c>
      <c r="N23" s="5">
        <v>27126</v>
      </c>
      <c r="O23" s="5">
        <v>42574</v>
      </c>
      <c r="P23" s="5">
        <v>0</v>
      </c>
      <c r="Q23" s="5">
        <v>4987</v>
      </c>
      <c r="R23" s="5">
        <v>11407</v>
      </c>
      <c r="S23" s="5">
        <v>5240</v>
      </c>
      <c r="T23" s="5">
        <v>1209</v>
      </c>
      <c r="U23" s="5">
        <v>5482</v>
      </c>
      <c r="V23" s="5">
        <v>43727</v>
      </c>
      <c r="W23" s="5">
        <v>57352</v>
      </c>
      <c r="X23" s="5">
        <v>98176</v>
      </c>
      <c r="Y23" s="5">
        <v>75142</v>
      </c>
      <c r="Z23" s="5">
        <v>244</v>
      </c>
      <c r="AA23" s="5"/>
      <c r="AB23" s="5"/>
      <c r="AC23" s="5">
        <v>0</v>
      </c>
      <c r="AD23" s="5">
        <v>2643</v>
      </c>
      <c r="AE23" s="5">
        <v>6001</v>
      </c>
      <c r="AF23" s="5">
        <v>5235</v>
      </c>
      <c r="AG23" s="5">
        <v>3523</v>
      </c>
      <c r="AH23" s="5">
        <v>2115</v>
      </c>
      <c r="AI23" s="5">
        <v>557</v>
      </c>
      <c r="AJ23" s="5">
        <v>2887</v>
      </c>
      <c r="AK23" s="5">
        <v>0</v>
      </c>
      <c r="AL23" s="5">
        <v>60</v>
      </c>
      <c r="AM23" s="3">
        <f t="shared" si="0"/>
        <v>16211.571428571429</v>
      </c>
    </row>
    <row r="24" spans="1:39" x14ac:dyDescent="0.25">
      <c r="A24" s="4">
        <v>44835</v>
      </c>
      <c r="B24" s="5">
        <v>40625</v>
      </c>
      <c r="C24" s="5">
        <v>14717</v>
      </c>
      <c r="D24" s="5">
        <v>0</v>
      </c>
      <c r="E24" s="5">
        <v>12209</v>
      </c>
      <c r="F24" s="5">
        <v>28863</v>
      </c>
      <c r="G24" s="5">
        <v>16545</v>
      </c>
      <c r="H24" s="5">
        <v>6799</v>
      </c>
      <c r="I24" s="5">
        <v>5666</v>
      </c>
      <c r="J24" s="5">
        <v>10825</v>
      </c>
      <c r="K24" s="5">
        <v>9542</v>
      </c>
      <c r="L24" s="5">
        <v>14643</v>
      </c>
      <c r="M24" s="5">
        <v>0</v>
      </c>
      <c r="N24" s="5">
        <v>24968</v>
      </c>
      <c r="O24" s="5">
        <v>41328</v>
      </c>
      <c r="P24" s="5">
        <v>0</v>
      </c>
      <c r="Q24" s="5">
        <v>5282</v>
      </c>
      <c r="R24" s="5">
        <v>10497</v>
      </c>
      <c r="S24" s="5">
        <v>5907</v>
      </c>
      <c r="T24" s="5">
        <v>1109</v>
      </c>
      <c r="U24" s="5">
        <v>4987</v>
      </c>
      <c r="V24" s="5">
        <v>39062</v>
      </c>
      <c r="W24" s="5">
        <v>54996</v>
      </c>
      <c r="X24" s="5">
        <v>90391</v>
      </c>
      <c r="Y24" s="5">
        <v>69446</v>
      </c>
      <c r="Z24" s="5">
        <v>311</v>
      </c>
      <c r="AA24" s="5"/>
      <c r="AB24" s="5"/>
      <c r="AC24" s="5">
        <v>0</v>
      </c>
      <c r="AD24" s="5">
        <v>2301</v>
      </c>
      <c r="AE24" s="5">
        <v>5700</v>
      </c>
      <c r="AF24" s="5">
        <v>4857</v>
      </c>
      <c r="AG24" s="5">
        <v>3211</v>
      </c>
      <c r="AH24" s="5">
        <v>2240</v>
      </c>
      <c r="AI24" s="5">
        <v>580</v>
      </c>
      <c r="AJ24" s="5">
        <v>2261</v>
      </c>
      <c r="AK24" s="5">
        <v>0</v>
      </c>
      <c r="AL24" s="5">
        <v>124</v>
      </c>
      <c r="AM24" s="3">
        <f t="shared" si="0"/>
        <v>15142.628571428571</v>
      </c>
    </row>
    <row r="25" spans="1:39" x14ac:dyDescent="0.25">
      <c r="A25" s="4">
        <v>44866</v>
      </c>
      <c r="B25" s="5">
        <v>38973</v>
      </c>
      <c r="C25" s="5">
        <v>14141</v>
      </c>
      <c r="D25" s="5">
        <v>0</v>
      </c>
      <c r="E25" s="5">
        <v>11688</v>
      </c>
      <c r="F25" s="5">
        <v>26969</v>
      </c>
      <c r="G25" s="5">
        <v>16305</v>
      </c>
      <c r="H25" s="5">
        <v>6706</v>
      </c>
      <c r="I25" s="5">
        <v>5418</v>
      </c>
      <c r="J25" s="5">
        <v>10498</v>
      </c>
      <c r="K25" s="5">
        <v>8865</v>
      </c>
      <c r="L25" s="5">
        <v>14185</v>
      </c>
      <c r="M25" s="5">
        <v>0</v>
      </c>
      <c r="N25" s="5">
        <v>25032</v>
      </c>
      <c r="O25" s="5">
        <v>40146</v>
      </c>
      <c r="P25" s="5">
        <v>0</v>
      </c>
      <c r="Q25" s="5">
        <v>5189</v>
      </c>
      <c r="R25" s="5">
        <v>10198</v>
      </c>
      <c r="S25" s="5">
        <v>5696</v>
      </c>
      <c r="T25" s="5">
        <v>1090</v>
      </c>
      <c r="U25" s="5">
        <v>4948</v>
      </c>
      <c r="V25" s="5">
        <v>38838</v>
      </c>
      <c r="W25" s="5">
        <v>52142</v>
      </c>
      <c r="X25" s="5">
        <v>89788</v>
      </c>
      <c r="Y25" s="5">
        <v>69500</v>
      </c>
      <c r="Z25" s="5">
        <v>308</v>
      </c>
      <c r="AA25" s="5"/>
      <c r="AB25" s="5"/>
      <c r="AC25" s="5">
        <v>0</v>
      </c>
      <c r="AD25" s="5">
        <v>2046</v>
      </c>
      <c r="AE25" s="5">
        <v>5520</v>
      </c>
      <c r="AF25" s="5">
        <v>4649</v>
      </c>
      <c r="AG25" s="5">
        <v>3120</v>
      </c>
      <c r="AH25" s="5">
        <v>2124</v>
      </c>
      <c r="AI25" s="5">
        <v>649</v>
      </c>
      <c r="AJ25" s="5">
        <v>2320</v>
      </c>
      <c r="AK25" s="5">
        <v>0</v>
      </c>
      <c r="AL25" s="5">
        <v>221</v>
      </c>
      <c r="AM25" s="3">
        <f t="shared" si="0"/>
        <v>14779.2</v>
      </c>
    </row>
    <row r="26" spans="1:39" x14ac:dyDescent="0.25">
      <c r="A26" s="4">
        <v>44896</v>
      </c>
      <c r="B26" s="5">
        <v>32933</v>
      </c>
      <c r="C26" s="5">
        <v>12688</v>
      </c>
      <c r="D26" s="5">
        <v>0</v>
      </c>
      <c r="E26" s="5">
        <v>10352</v>
      </c>
      <c r="F26" s="5">
        <v>23523</v>
      </c>
      <c r="G26" s="5">
        <v>15998</v>
      </c>
      <c r="H26" s="5">
        <v>6475</v>
      </c>
      <c r="I26" s="5">
        <v>4806</v>
      </c>
      <c r="J26" s="5">
        <v>8644</v>
      </c>
      <c r="K26" s="5">
        <v>7701</v>
      </c>
      <c r="L26" s="5">
        <v>12335</v>
      </c>
      <c r="M26" s="5">
        <v>0</v>
      </c>
      <c r="N26" s="5">
        <v>23132</v>
      </c>
      <c r="O26" s="5">
        <v>38225</v>
      </c>
      <c r="P26" s="5">
        <v>0</v>
      </c>
      <c r="Q26" s="5">
        <v>4693</v>
      </c>
      <c r="R26" s="5">
        <v>8830</v>
      </c>
      <c r="S26" s="5">
        <v>6132</v>
      </c>
      <c r="T26" s="5">
        <v>980</v>
      </c>
      <c r="U26" s="5">
        <v>4583</v>
      </c>
      <c r="V26" s="5">
        <v>34808</v>
      </c>
      <c r="W26" s="5">
        <v>49604</v>
      </c>
      <c r="X26" s="5">
        <v>79093</v>
      </c>
      <c r="Y26" s="5">
        <v>63588</v>
      </c>
      <c r="Z26" s="5">
        <v>219</v>
      </c>
      <c r="AA26" s="5"/>
      <c r="AB26" s="5"/>
      <c r="AC26" s="5">
        <v>0</v>
      </c>
      <c r="AD26" s="5">
        <v>1230</v>
      </c>
      <c r="AE26" s="5">
        <v>5069</v>
      </c>
      <c r="AF26" s="5">
        <v>4102</v>
      </c>
      <c r="AG26" s="5">
        <v>2905</v>
      </c>
      <c r="AH26" s="5">
        <v>1665</v>
      </c>
      <c r="AI26" s="5">
        <v>396</v>
      </c>
      <c r="AJ26" s="5">
        <v>1816</v>
      </c>
      <c r="AK26" s="5">
        <v>0</v>
      </c>
      <c r="AL26" s="5">
        <v>229</v>
      </c>
      <c r="AM26" s="3">
        <f t="shared" si="0"/>
        <v>13335.828571428572</v>
      </c>
    </row>
    <row r="27" spans="1:39" x14ac:dyDescent="0.25">
      <c r="A27" s="4">
        <v>44927</v>
      </c>
      <c r="B27" s="7">
        <v>34982</v>
      </c>
      <c r="C27" s="7">
        <v>12389</v>
      </c>
      <c r="D27" s="7"/>
      <c r="E27" s="7">
        <v>11912</v>
      </c>
      <c r="F27" s="7">
        <v>25460</v>
      </c>
      <c r="G27" s="7">
        <v>15484</v>
      </c>
      <c r="H27" s="7">
        <v>6068</v>
      </c>
      <c r="I27" s="7">
        <v>4940</v>
      </c>
      <c r="J27" s="7">
        <v>9387</v>
      </c>
      <c r="K27" s="7">
        <v>7246</v>
      </c>
      <c r="L27" s="7">
        <v>13019</v>
      </c>
      <c r="M27" s="7"/>
      <c r="N27" s="7">
        <v>23268</v>
      </c>
      <c r="O27" s="7">
        <v>37016</v>
      </c>
      <c r="P27" s="7"/>
      <c r="Q27" s="7">
        <v>4622</v>
      </c>
      <c r="R27" s="7">
        <v>9389</v>
      </c>
      <c r="S27" s="7">
        <v>4460</v>
      </c>
      <c r="T27" s="7">
        <v>1044</v>
      </c>
      <c r="U27" s="7">
        <v>4400</v>
      </c>
      <c r="V27" s="7">
        <v>35454</v>
      </c>
      <c r="W27" s="7">
        <v>48858</v>
      </c>
      <c r="X27" s="7">
        <v>79931</v>
      </c>
      <c r="Y27" s="7">
        <v>64024</v>
      </c>
      <c r="Z27" s="7">
        <v>339</v>
      </c>
      <c r="AA27" s="7"/>
      <c r="AB27" s="7"/>
      <c r="AC27" s="7"/>
      <c r="AD27" s="7">
        <v>1694</v>
      </c>
      <c r="AE27" s="7">
        <v>4904</v>
      </c>
      <c r="AF27" s="7">
        <v>4123</v>
      </c>
      <c r="AG27" s="7">
        <v>3070</v>
      </c>
      <c r="AH27" s="7">
        <v>1966</v>
      </c>
      <c r="AI27" s="7">
        <v>544</v>
      </c>
      <c r="AJ27" s="7">
        <v>2247</v>
      </c>
      <c r="AK27" s="7"/>
      <c r="AL27" s="7"/>
      <c r="AM27" s="3">
        <f t="shared" si="0"/>
        <v>16284.137931034482</v>
      </c>
    </row>
    <row r="28" spans="1:39" x14ac:dyDescent="0.25">
      <c r="A28" s="4">
        <v>44958</v>
      </c>
      <c r="B28" s="7">
        <v>36626</v>
      </c>
      <c r="C28" s="7">
        <v>13097</v>
      </c>
      <c r="D28" s="7"/>
      <c r="E28" s="7">
        <v>12582</v>
      </c>
      <c r="F28" s="7">
        <v>26343</v>
      </c>
      <c r="G28" s="7">
        <v>16757</v>
      </c>
      <c r="H28" s="7">
        <v>6145</v>
      </c>
      <c r="I28" s="7">
        <v>5002</v>
      </c>
      <c r="J28" s="7">
        <v>9552</v>
      </c>
      <c r="K28" s="7">
        <v>7964</v>
      </c>
      <c r="L28" s="7">
        <v>14124</v>
      </c>
      <c r="M28" s="7"/>
      <c r="N28" s="7">
        <v>23367</v>
      </c>
      <c r="O28" s="7">
        <v>39631</v>
      </c>
      <c r="P28" s="7"/>
      <c r="Q28" s="7">
        <v>4647</v>
      </c>
      <c r="R28" s="7">
        <v>10325</v>
      </c>
      <c r="S28" s="7">
        <v>4324</v>
      </c>
      <c r="T28" s="7">
        <v>1072</v>
      </c>
      <c r="U28" s="7">
        <v>4412</v>
      </c>
      <c r="V28" s="7">
        <v>36406</v>
      </c>
      <c r="W28" s="7">
        <v>50956</v>
      </c>
      <c r="X28" s="7">
        <v>85143</v>
      </c>
      <c r="Y28" s="7">
        <v>68218</v>
      </c>
      <c r="Z28" s="7">
        <v>377</v>
      </c>
      <c r="AA28" s="7"/>
      <c r="AB28" s="7"/>
      <c r="AC28" s="7"/>
      <c r="AD28" s="7">
        <v>2011</v>
      </c>
      <c r="AE28" s="7">
        <v>4889</v>
      </c>
      <c r="AF28" s="7">
        <v>4324</v>
      </c>
      <c r="AG28" s="7">
        <v>3360</v>
      </c>
      <c r="AH28" s="7">
        <v>2135</v>
      </c>
      <c r="AI28" s="7">
        <v>522</v>
      </c>
      <c r="AJ28" s="7">
        <v>2203</v>
      </c>
      <c r="AK28" s="7"/>
      <c r="AL28" s="7"/>
      <c r="AM28" s="3">
        <f t="shared" si="0"/>
        <v>17121.172413793105</v>
      </c>
    </row>
    <row r="29" spans="1:39" x14ac:dyDescent="0.25">
      <c r="A29" s="4">
        <v>44986</v>
      </c>
      <c r="B29" s="7">
        <v>41714</v>
      </c>
      <c r="C29" s="7">
        <v>15087</v>
      </c>
      <c r="D29" s="7"/>
      <c r="E29" s="7">
        <v>14878</v>
      </c>
      <c r="F29" s="7">
        <v>28809</v>
      </c>
      <c r="G29" s="7">
        <v>19083</v>
      </c>
      <c r="H29" s="7">
        <v>7079</v>
      </c>
      <c r="I29" s="7">
        <v>5627</v>
      </c>
      <c r="J29" s="7">
        <v>10860</v>
      </c>
      <c r="K29" s="7">
        <v>9554</v>
      </c>
      <c r="L29" s="7">
        <v>16151</v>
      </c>
      <c r="M29" s="7"/>
      <c r="N29" s="7">
        <v>26337</v>
      </c>
      <c r="O29" s="7">
        <v>46058</v>
      </c>
      <c r="P29" s="7"/>
      <c r="Q29" s="7">
        <v>5029</v>
      </c>
      <c r="R29" s="7">
        <v>11794</v>
      </c>
      <c r="S29" s="7">
        <v>5558</v>
      </c>
      <c r="T29" s="7">
        <v>1130</v>
      </c>
      <c r="U29" s="7">
        <v>5844</v>
      </c>
      <c r="V29" s="7">
        <v>41480</v>
      </c>
      <c r="W29" s="7">
        <v>61533</v>
      </c>
      <c r="X29" s="7">
        <v>100529</v>
      </c>
      <c r="Y29" s="7">
        <v>77815</v>
      </c>
      <c r="Z29" s="7">
        <v>422</v>
      </c>
      <c r="AA29" s="7"/>
      <c r="AB29" s="7"/>
      <c r="AC29" s="7"/>
      <c r="AD29" s="7">
        <v>1940</v>
      </c>
      <c r="AE29" s="7">
        <v>5701</v>
      </c>
      <c r="AF29" s="7">
        <v>5066</v>
      </c>
      <c r="AG29" s="7">
        <v>3735</v>
      </c>
      <c r="AH29" s="7">
        <v>2330</v>
      </c>
      <c r="AI29" s="7">
        <v>599</v>
      </c>
      <c r="AJ29" s="7">
        <v>2551</v>
      </c>
      <c r="AK29" s="7"/>
      <c r="AL29" s="7"/>
      <c r="AM29" s="3">
        <f t="shared" si="0"/>
        <v>19803.206896551725</v>
      </c>
    </row>
    <row r="30" spans="1:39" x14ac:dyDescent="0.25">
      <c r="A30" s="4">
        <v>45017</v>
      </c>
      <c r="B30" s="7">
        <v>39443</v>
      </c>
      <c r="C30" s="7">
        <v>13185</v>
      </c>
      <c r="D30" s="7"/>
      <c r="E30" s="7">
        <v>12815</v>
      </c>
      <c r="F30" s="7">
        <v>26998</v>
      </c>
      <c r="G30" s="7">
        <v>16824</v>
      </c>
      <c r="H30" s="7">
        <v>6335</v>
      </c>
      <c r="I30" s="7">
        <v>5303</v>
      </c>
      <c r="J30" s="7">
        <v>10654</v>
      </c>
      <c r="K30" s="7">
        <v>8860</v>
      </c>
      <c r="L30" s="7">
        <v>14534</v>
      </c>
      <c r="M30" s="7"/>
      <c r="N30" s="7">
        <v>23700</v>
      </c>
      <c r="O30" s="7">
        <v>41405</v>
      </c>
      <c r="P30" s="7"/>
      <c r="Q30" s="7">
        <v>4480</v>
      </c>
      <c r="R30" s="7">
        <v>11014</v>
      </c>
      <c r="S30" s="7">
        <v>4929</v>
      </c>
      <c r="T30" s="7">
        <v>919</v>
      </c>
      <c r="U30" s="7">
        <v>5299</v>
      </c>
      <c r="V30" s="7">
        <v>39754</v>
      </c>
      <c r="W30" s="7">
        <v>56152</v>
      </c>
      <c r="X30" s="7">
        <v>88930</v>
      </c>
      <c r="Y30" s="7">
        <v>69096</v>
      </c>
      <c r="Z30" s="7">
        <v>348</v>
      </c>
      <c r="AA30" s="7"/>
      <c r="AB30" s="7"/>
      <c r="AC30" s="7"/>
      <c r="AD30" s="7">
        <v>1742</v>
      </c>
      <c r="AE30" s="7">
        <v>5347</v>
      </c>
      <c r="AF30" s="7">
        <v>5014</v>
      </c>
      <c r="AG30" s="7">
        <v>3742</v>
      </c>
      <c r="AH30" s="7">
        <v>2049</v>
      </c>
      <c r="AI30" s="7">
        <v>573</v>
      </c>
      <c r="AJ30" s="7">
        <v>2861</v>
      </c>
      <c r="AK30" s="7"/>
      <c r="AL30" s="7"/>
      <c r="AM30" s="3">
        <f t="shared" si="0"/>
        <v>18010.517241379312</v>
      </c>
    </row>
    <row r="31" spans="1:39" x14ac:dyDescent="0.25">
      <c r="A31" s="4">
        <v>45047</v>
      </c>
      <c r="B31" s="7">
        <v>42334</v>
      </c>
      <c r="C31" s="7">
        <v>14166</v>
      </c>
      <c r="D31" s="7"/>
      <c r="E31" s="7">
        <v>13793</v>
      </c>
      <c r="F31" s="7">
        <v>28722</v>
      </c>
      <c r="G31" s="7">
        <v>17905</v>
      </c>
      <c r="H31" s="7">
        <v>7084</v>
      </c>
      <c r="I31" s="7">
        <v>5515</v>
      </c>
      <c r="J31" s="7">
        <v>10897</v>
      </c>
      <c r="K31" s="7">
        <v>10356</v>
      </c>
      <c r="L31" s="7">
        <v>15875</v>
      </c>
      <c r="M31" s="7"/>
      <c r="N31" s="7">
        <v>25724</v>
      </c>
      <c r="O31" s="7">
        <v>46758</v>
      </c>
      <c r="P31" s="7"/>
      <c r="Q31" s="7">
        <v>5053</v>
      </c>
      <c r="R31" s="7">
        <v>11840</v>
      </c>
      <c r="S31" s="7">
        <v>5774</v>
      </c>
      <c r="T31" s="7">
        <v>914</v>
      </c>
      <c r="U31" s="7">
        <v>5813</v>
      </c>
      <c r="V31" s="7">
        <v>42785</v>
      </c>
      <c r="W31" s="7">
        <v>62180</v>
      </c>
      <c r="X31" s="7">
        <v>97818</v>
      </c>
      <c r="Y31" s="7">
        <v>77438</v>
      </c>
      <c r="Z31" s="7">
        <v>351</v>
      </c>
      <c r="AA31" s="7"/>
      <c r="AB31" s="7"/>
      <c r="AC31" s="7"/>
      <c r="AD31" s="7">
        <v>1477</v>
      </c>
      <c r="AE31" s="7">
        <v>5950</v>
      </c>
      <c r="AF31" s="7">
        <v>6097</v>
      </c>
      <c r="AG31" s="7">
        <v>4047</v>
      </c>
      <c r="AH31" s="7">
        <v>2008</v>
      </c>
      <c r="AI31" s="7">
        <v>678</v>
      </c>
      <c r="AJ31" s="7">
        <v>3010</v>
      </c>
      <c r="AK31" s="7"/>
      <c r="AL31" s="7"/>
      <c r="AM31" s="3">
        <f t="shared" si="0"/>
        <v>19736.620689655174</v>
      </c>
    </row>
    <row r="32" spans="1:39" x14ac:dyDescent="0.25">
      <c r="A32" s="4">
        <v>45078</v>
      </c>
      <c r="B32" s="7">
        <v>37954</v>
      </c>
      <c r="C32" s="7">
        <v>13302</v>
      </c>
      <c r="D32" s="7"/>
      <c r="E32" s="7">
        <v>12404</v>
      </c>
      <c r="F32" s="7">
        <v>28067</v>
      </c>
      <c r="G32" s="7">
        <v>16519</v>
      </c>
      <c r="H32" s="7">
        <v>7354</v>
      </c>
      <c r="I32" s="7">
        <v>5292</v>
      </c>
      <c r="J32" s="7">
        <v>10076</v>
      </c>
      <c r="K32" s="7">
        <v>9062</v>
      </c>
      <c r="L32" s="7">
        <v>14698</v>
      </c>
      <c r="M32" s="7"/>
      <c r="N32" s="7">
        <v>24755</v>
      </c>
      <c r="O32" s="7">
        <v>44081</v>
      </c>
      <c r="P32" s="7"/>
      <c r="Q32" s="7">
        <v>4490</v>
      </c>
      <c r="R32" s="7">
        <v>10472</v>
      </c>
      <c r="S32" s="7">
        <v>6113</v>
      </c>
      <c r="T32" s="7">
        <v>747</v>
      </c>
      <c r="U32" s="7">
        <v>5742</v>
      </c>
      <c r="V32" s="7">
        <v>37684</v>
      </c>
      <c r="W32" s="7">
        <v>60925</v>
      </c>
      <c r="X32" s="7">
        <v>95085</v>
      </c>
      <c r="Y32" s="7">
        <v>72239</v>
      </c>
      <c r="Z32" s="7">
        <v>296</v>
      </c>
      <c r="AA32" s="7"/>
      <c r="AB32" s="7"/>
      <c r="AC32" s="7"/>
      <c r="AD32" s="7">
        <v>1385</v>
      </c>
      <c r="AE32" s="7">
        <v>5778</v>
      </c>
      <c r="AF32" s="7">
        <v>6085</v>
      </c>
      <c r="AG32" s="7">
        <v>3835</v>
      </c>
      <c r="AH32" s="7">
        <v>1940</v>
      </c>
      <c r="AI32" s="7">
        <v>579</v>
      </c>
      <c r="AJ32" s="7">
        <v>2333</v>
      </c>
      <c r="AK32" s="7"/>
      <c r="AL32" s="7"/>
      <c r="AM32" s="3">
        <f t="shared" si="0"/>
        <v>18596.275862068964</v>
      </c>
    </row>
    <row r="33" spans="1:39" x14ac:dyDescent="0.25">
      <c r="A33" s="4">
        <v>45108</v>
      </c>
      <c r="B33" s="7">
        <v>32131</v>
      </c>
      <c r="C33" s="7">
        <v>11749</v>
      </c>
      <c r="D33" s="7"/>
      <c r="E33" s="7">
        <v>10932</v>
      </c>
      <c r="F33" s="7">
        <v>23089</v>
      </c>
      <c r="G33" s="7">
        <v>13877</v>
      </c>
      <c r="H33" s="7">
        <v>5984</v>
      </c>
      <c r="I33" s="7">
        <v>4551</v>
      </c>
      <c r="J33" s="7">
        <v>8519</v>
      </c>
      <c r="K33" s="7">
        <v>9028</v>
      </c>
      <c r="L33" s="7">
        <v>13373</v>
      </c>
      <c r="M33" s="7"/>
      <c r="N33" s="7">
        <v>21649</v>
      </c>
      <c r="O33" s="7">
        <v>36553</v>
      </c>
      <c r="P33" s="7"/>
      <c r="Q33" s="7">
        <v>3821</v>
      </c>
      <c r="R33" s="7">
        <v>8618</v>
      </c>
      <c r="S33" s="7">
        <v>5232</v>
      </c>
      <c r="T33" s="7">
        <v>595</v>
      </c>
      <c r="U33" s="7">
        <v>5126</v>
      </c>
      <c r="V33" s="7">
        <v>34433</v>
      </c>
      <c r="W33" s="7">
        <v>53104</v>
      </c>
      <c r="X33" s="7">
        <v>84652</v>
      </c>
      <c r="Y33" s="7">
        <v>63304</v>
      </c>
      <c r="Z33" s="7">
        <v>298</v>
      </c>
      <c r="AA33" s="7"/>
      <c r="AB33" s="7"/>
      <c r="AC33" s="7"/>
      <c r="AD33" s="7">
        <v>1301</v>
      </c>
      <c r="AE33" s="7">
        <v>5210</v>
      </c>
      <c r="AF33" s="7">
        <v>5153</v>
      </c>
      <c r="AG33" s="7">
        <v>3249</v>
      </c>
      <c r="AH33" s="7">
        <v>1792</v>
      </c>
      <c r="AI33" s="7">
        <v>451</v>
      </c>
      <c r="AJ33" s="7">
        <v>2281</v>
      </c>
      <c r="AK33" s="7"/>
      <c r="AL33" s="7"/>
      <c r="AM33" s="3">
        <f t="shared" si="0"/>
        <v>16208.793103448275</v>
      </c>
    </row>
    <row r="34" spans="1:39" x14ac:dyDescent="0.25">
      <c r="A34" s="4">
        <v>45139</v>
      </c>
      <c r="B34" s="7">
        <v>42882</v>
      </c>
      <c r="C34" s="7">
        <v>16812</v>
      </c>
      <c r="D34" s="7"/>
      <c r="E34" s="7">
        <v>14996</v>
      </c>
      <c r="F34" s="7">
        <v>30379</v>
      </c>
      <c r="G34" s="7">
        <v>16466</v>
      </c>
      <c r="H34" s="7">
        <v>7657</v>
      </c>
      <c r="I34" s="7">
        <v>5764</v>
      </c>
      <c r="J34" s="7">
        <v>12661</v>
      </c>
      <c r="K34" s="7">
        <v>11065</v>
      </c>
      <c r="L34" s="7">
        <v>18630</v>
      </c>
      <c r="M34" s="7"/>
      <c r="N34" s="7">
        <v>26794</v>
      </c>
      <c r="O34" s="7">
        <v>49351</v>
      </c>
      <c r="P34" s="7"/>
      <c r="Q34" s="7">
        <v>4609</v>
      </c>
      <c r="R34" s="7">
        <v>12930</v>
      </c>
      <c r="S34" s="7">
        <v>5535</v>
      </c>
      <c r="T34" s="7">
        <v>1088</v>
      </c>
      <c r="U34" s="7">
        <v>6600</v>
      </c>
      <c r="V34" s="7">
        <v>47793</v>
      </c>
      <c r="W34" s="7">
        <v>63599</v>
      </c>
      <c r="X34" s="7">
        <v>106922</v>
      </c>
      <c r="Y34" s="7">
        <v>81491</v>
      </c>
      <c r="Z34" s="7">
        <v>367</v>
      </c>
      <c r="AA34" s="7">
        <v>616</v>
      </c>
      <c r="AB34" s="7"/>
      <c r="AC34" s="7"/>
      <c r="AD34" s="7">
        <v>2077</v>
      </c>
      <c r="AE34" s="7">
        <v>6127</v>
      </c>
      <c r="AF34" s="7">
        <v>6479</v>
      </c>
      <c r="AG34" s="7">
        <v>4357</v>
      </c>
      <c r="AH34" s="7">
        <v>2266</v>
      </c>
      <c r="AI34" s="7">
        <v>996</v>
      </c>
      <c r="AJ34" s="7">
        <v>3326</v>
      </c>
      <c r="AK34" s="7"/>
      <c r="AL34" s="7"/>
      <c r="AM34" s="3">
        <f t="shared" si="0"/>
        <v>20354.5</v>
      </c>
    </row>
    <row r="35" spans="1:39" x14ac:dyDescent="0.25">
      <c r="A35" s="4">
        <v>45170</v>
      </c>
      <c r="B35" s="7">
        <v>43170</v>
      </c>
      <c r="C35" s="7">
        <v>16876</v>
      </c>
      <c r="D35" s="7"/>
      <c r="E35" s="7">
        <v>14060</v>
      </c>
      <c r="F35" s="7">
        <v>30649</v>
      </c>
      <c r="G35" s="7">
        <v>15097</v>
      </c>
      <c r="H35" s="7">
        <v>7315</v>
      </c>
      <c r="I35" s="7">
        <v>5355</v>
      </c>
      <c r="J35" s="7">
        <v>11236</v>
      </c>
      <c r="K35" s="7">
        <v>9888</v>
      </c>
      <c r="L35" s="7">
        <v>18350</v>
      </c>
      <c r="M35" s="7"/>
      <c r="N35" s="7">
        <v>25654</v>
      </c>
      <c r="O35" s="7">
        <v>45637</v>
      </c>
      <c r="P35" s="7"/>
      <c r="Q35" s="7">
        <v>4341</v>
      </c>
      <c r="R35" s="7">
        <v>12453</v>
      </c>
      <c r="S35" s="7">
        <v>5357</v>
      </c>
      <c r="T35" s="7">
        <v>1030</v>
      </c>
      <c r="U35" s="7">
        <v>6072</v>
      </c>
      <c r="V35" s="7">
        <v>43878</v>
      </c>
      <c r="W35" s="7">
        <v>58870</v>
      </c>
      <c r="X35" s="7">
        <v>96135</v>
      </c>
      <c r="Y35" s="7">
        <v>74960</v>
      </c>
      <c r="Z35" s="7">
        <v>339</v>
      </c>
      <c r="AA35" s="7">
        <v>816</v>
      </c>
      <c r="AB35" s="7"/>
      <c r="AC35" s="7"/>
      <c r="AD35" s="7">
        <v>1876</v>
      </c>
      <c r="AE35" s="7">
        <v>5938</v>
      </c>
      <c r="AF35" s="7">
        <v>5881</v>
      </c>
      <c r="AG35" s="7">
        <v>4244</v>
      </c>
      <c r="AH35" s="7">
        <v>2709</v>
      </c>
      <c r="AI35" s="7">
        <v>1134</v>
      </c>
      <c r="AJ35" s="7">
        <v>2954</v>
      </c>
      <c r="AK35" s="7"/>
      <c r="AL35" s="7"/>
      <c r="AM35" s="3">
        <f t="shared" si="0"/>
        <v>19075.8</v>
      </c>
    </row>
    <row r="36" spans="1:39" x14ac:dyDescent="0.25">
      <c r="A36" s="4">
        <v>45200</v>
      </c>
      <c r="B36" s="7">
        <v>44299</v>
      </c>
      <c r="C36" s="7">
        <v>17105</v>
      </c>
      <c r="D36" s="7"/>
      <c r="E36" s="7">
        <v>14949</v>
      </c>
      <c r="F36" s="7">
        <v>33060</v>
      </c>
      <c r="G36" s="7">
        <v>16077</v>
      </c>
      <c r="H36" s="7">
        <v>7714</v>
      </c>
      <c r="I36" s="7">
        <v>5893</v>
      </c>
      <c r="J36" s="7">
        <v>11607</v>
      </c>
      <c r="K36" s="7">
        <v>11323</v>
      </c>
      <c r="L36" s="7">
        <v>17708</v>
      </c>
      <c r="M36" s="7"/>
      <c r="N36" s="7">
        <v>26879</v>
      </c>
      <c r="O36" s="7">
        <v>47701</v>
      </c>
      <c r="P36" s="7"/>
      <c r="Q36" s="7">
        <v>4763</v>
      </c>
      <c r="R36" s="7">
        <v>12432</v>
      </c>
      <c r="S36" s="7">
        <v>5729</v>
      </c>
      <c r="T36" s="7">
        <v>1362</v>
      </c>
      <c r="U36" s="7">
        <v>6444</v>
      </c>
      <c r="V36" s="7">
        <v>45083</v>
      </c>
      <c r="W36" s="7">
        <v>61870</v>
      </c>
      <c r="X36" s="7">
        <v>100575</v>
      </c>
      <c r="Y36" s="7">
        <v>78963</v>
      </c>
      <c r="Z36" s="7">
        <v>202</v>
      </c>
      <c r="AA36" s="7">
        <v>933</v>
      </c>
      <c r="AB36" s="7"/>
      <c r="AC36" s="7"/>
      <c r="AD36" s="7">
        <v>2459</v>
      </c>
      <c r="AE36" s="7">
        <v>6031</v>
      </c>
      <c r="AF36" s="7">
        <v>5993</v>
      </c>
      <c r="AG36" s="7">
        <v>4654</v>
      </c>
      <c r="AH36" s="7">
        <v>2741</v>
      </c>
      <c r="AI36" s="7">
        <v>1036</v>
      </c>
      <c r="AJ36" s="7">
        <v>2670</v>
      </c>
      <c r="AK36" s="7"/>
      <c r="AL36" s="7"/>
      <c r="AM36" s="3">
        <f t="shared" si="0"/>
        <v>19941.833333333332</v>
      </c>
    </row>
    <row r="37" spans="1:39" x14ac:dyDescent="0.25">
      <c r="A37" s="4">
        <v>45231</v>
      </c>
      <c r="B37" s="7">
        <v>40250</v>
      </c>
      <c r="C37" s="7">
        <v>16808</v>
      </c>
      <c r="D37" s="7"/>
      <c r="E37" s="7">
        <v>15480</v>
      </c>
      <c r="F37" s="7">
        <v>30609</v>
      </c>
      <c r="G37" s="7">
        <v>16484</v>
      </c>
      <c r="H37" s="7">
        <v>7305</v>
      </c>
      <c r="I37" s="7">
        <v>5562</v>
      </c>
      <c r="J37" s="7">
        <v>11039</v>
      </c>
      <c r="K37" s="7">
        <v>9844</v>
      </c>
      <c r="L37" s="7">
        <v>16873</v>
      </c>
      <c r="M37" s="7"/>
      <c r="N37" s="7">
        <v>25855</v>
      </c>
      <c r="O37" s="7">
        <v>46106</v>
      </c>
      <c r="P37" s="7"/>
      <c r="Q37" s="7">
        <v>4892</v>
      </c>
      <c r="R37" s="7">
        <v>11727</v>
      </c>
      <c r="S37" s="7">
        <v>5670</v>
      </c>
      <c r="T37" s="7">
        <v>1299</v>
      </c>
      <c r="U37" s="7">
        <v>5691</v>
      </c>
      <c r="V37" s="7">
        <v>43285</v>
      </c>
      <c r="W37" s="7">
        <v>53892</v>
      </c>
      <c r="X37" s="7">
        <v>92392</v>
      </c>
      <c r="Y37" s="7">
        <v>77249</v>
      </c>
      <c r="Z37" s="7">
        <v>59</v>
      </c>
      <c r="AA37" s="7">
        <v>1032</v>
      </c>
      <c r="AB37" s="7"/>
      <c r="AC37" s="7"/>
      <c r="AD37" s="7">
        <v>1909</v>
      </c>
      <c r="AE37" s="7">
        <v>5955</v>
      </c>
      <c r="AF37" s="7">
        <v>5020</v>
      </c>
      <c r="AG37" s="7">
        <v>4603</v>
      </c>
      <c r="AH37" s="7">
        <v>2656</v>
      </c>
      <c r="AI37" s="7">
        <v>1157</v>
      </c>
      <c r="AJ37" s="7">
        <v>2676</v>
      </c>
      <c r="AK37" s="7"/>
      <c r="AL37" s="7"/>
      <c r="AM37" s="3">
        <f t="shared" si="0"/>
        <v>18779.3</v>
      </c>
    </row>
    <row r="38" spans="1:39" x14ac:dyDescent="0.25">
      <c r="A38" s="4">
        <v>45261</v>
      </c>
      <c r="B38" s="7">
        <v>34473</v>
      </c>
      <c r="C38" s="7">
        <v>14585</v>
      </c>
      <c r="D38" s="7"/>
      <c r="E38" s="7">
        <v>13667</v>
      </c>
      <c r="F38" s="7">
        <v>26063</v>
      </c>
      <c r="G38" s="7">
        <v>17006</v>
      </c>
      <c r="H38" s="7">
        <v>6601</v>
      </c>
      <c r="I38" s="7">
        <v>5059</v>
      </c>
      <c r="J38" s="7">
        <v>9635</v>
      </c>
      <c r="K38" s="7">
        <v>8757</v>
      </c>
      <c r="L38" s="7">
        <v>14496</v>
      </c>
      <c r="M38" s="7"/>
      <c r="N38" s="7">
        <v>23470</v>
      </c>
      <c r="O38" s="7">
        <v>43526</v>
      </c>
      <c r="P38" s="7"/>
      <c r="Q38" s="7">
        <v>4177</v>
      </c>
      <c r="R38" s="7">
        <v>10016</v>
      </c>
      <c r="S38" s="7">
        <v>5909</v>
      </c>
      <c r="T38" s="7">
        <v>1116</v>
      </c>
      <c r="U38" s="7">
        <v>4823</v>
      </c>
      <c r="V38" s="7">
        <v>39141</v>
      </c>
      <c r="W38" s="7">
        <v>48485</v>
      </c>
      <c r="X38" s="7">
        <v>84755</v>
      </c>
      <c r="Y38" s="7">
        <v>68086</v>
      </c>
      <c r="Z38" s="7">
        <v>114</v>
      </c>
      <c r="AA38" s="7">
        <v>852</v>
      </c>
      <c r="AB38" s="7"/>
      <c r="AC38" s="7"/>
      <c r="AD38" s="7">
        <v>1497</v>
      </c>
      <c r="AE38" s="7">
        <v>5586</v>
      </c>
      <c r="AF38" s="7">
        <v>5586</v>
      </c>
      <c r="AG38" s="7">
        <v>4703</v>
      </c>
      <c r="AH38" s="7">
        <v>1956</v>
      </c>
      <c r="AI38" s="7">
        <v>768</v>
      </c>
      <c r="AJ38" s="7">
        <v>2007</v>
      </c>
      <c r="AK38" s="7"/>
      <c r="AL38" s="7"/>
      <c r="AM38" s="3">
        <f t="shared" si="0"/>
        <v>16897.166666666668</v>
      </c>
    </row>
    <row r="39" spans="1:39" x14ac:dyDescent="0.25">
      <c r="A39" s="4">
        <v>45292</v>
      </c>
      <c r="B39" s="7">
        <v>31633</v>
      </c>
      <c r="C39" s="7">
        <v>13716</v>
      </c>
      <c r="D39" s="7"/>
      <c r="E39" s="7">
        <v>12730</v>
      </c>
      <c r="F39" s="7">
        <v>25950</v>
      </c>
      <c r="G39" s="7">
        <v>16601</v>
      </c>
      <c r="H39" s="7">
        <v>6685</v>
      </c>
      <c r="I39" s="7">
        <v>4585</v>
      </c>
      <c r="J39" s="7">
        <v>9365</v>
      </c>
      <c r="K39" s="7">
        <v>8342</v>
      </c>
      <c r="L39" s="7">
        <v>12102</v>
      </c>
      <c r="M39" s="7"/>
      <c r="N39" s="7">
        <v>23785</v>
      </c>
      <c r="O39" s="7">
        <v>40129</v>
      </c>
      <c r="P39" s="7"/>
      <c r="Q39" s="7">
        <v>3647</v>
      </c>
      <c r="R39" s="7">
        <v>9837</v>
      </c>
      <c r="S39" s="7">
        <v>4463</v>
      </c>
      <c r="T39" s="7">
        <v>1105</v>
      </c>
      <c r="U39" s="7">
        <v>4958</v>
      </c>
      <c r="V39" s="7">
        <v>34481</v>
      </c>
      <c r="W39" s="7">
        <v>43401</v>
      </c>
      <c r="X39" s="7">
        <v>78929</v>
      </c>
      <c r="Y39" s="7">
        <v>64542</v>
      </c>
      <c r="Z39" s="7">
        <v>147</v>
      </c>
      <c r="AA39" s="7">
        <v>731</v>
      </c>
      <c r="AB39" s="7"/>
      <c r="AC39" s="7"/>
      <c r="AD39" s="7">
        <v>1652</v>
      </c>
      <c r="AE39" s="7">
        <v>4695</v>
      </c>
      <c r="AF39" s="7">
        <v>4695</v>
      </c>
      <c r="AG39" s="7">
        <v>3436</v>
      </c>
      <c r="AH39" s="7">
        <v>1876</v>
      </c>
      <c r="AI39" s="7">
        <v>823</v>
      </c>
      <c r="AJ39" s="7">
        <v>2279</v>
      </c>
      <c r="AK39" s="7"/>
      <c r="AL39" s="7"/>
      <c r="AM39" s="3">
        <f t="shared" si="0"/>
        <v>15710.666666666666</v>
      </c>
    </row>
    <row r="40" spans="1:39" x14ac:dyDescent="0.25">
      <c r="A40" s="4">
        <v>45323</v>
      </c>
      <c r="B40" s="7">
        <v>41133</v>
      </c>
      <c r="C40" s="7">
        <v>17011</v>
      </c>
      <c r="D40" s="7"/>
      <c r="E40" s="7">
        <v>15029</v>
      </c>
      <c r="F40" s="7">
        <v>32256</v>
      </c>
      <c r="G40" s="7">
        <v>19050</v>
      </c>
      <c r="H40" s="7">
        <v>7989</v>
      </c>
      <c r="I40" s="7">
        <v>5628</v>
      </c>
      <c r="J40" s="7">
        <v>12053</v>
      </c>
      <c r="K40" s="7">
        <v>9941</v>
      </c>
      <c r="L40" s="7">
        <v>16966</v>
      </c>
      <c r="M40" s="7"/>
      <c r="N40" s="7">
        <v>30568</v>
      </c>
      <c r="O40" s="7">
        <v>48363</v>
      </c>
      <c r="P40" s="7"/>
      <c r="Q40" s="7">
        <v>4790</v>
      </c>
      <c r="R40" s="7">
        <v>12832</v>
      </c>
      <c r="S40" s="7">
        <v>5532</v>
      </c>
      <c r="T40" s="7">
        <v>1394</v>
      </c>
      <c r="U40" s="7">
        <v>6374</v>
      </c>
      <c r="V40" s="7">
        <v>42450</v>
      </c>
      <c r="W40" s="7">
        <v>54914</v>
      </c>
      <c r="X40" s="7">
        <v>98435</v>
      </c>
      <c r="Y40" s="7">
        <v>81148</v>
      </c>
      <c r="Z40" s="7">
        <v>142</v>
      </c>
      <c r="AA40" s="7">
        <v>1328</v>
      </c>
      <c r="AB40" s="7"/>
      <c r="AC40" s="7"/>
      <c r="AD40" s="7">
        <v>2216</v>
      </c>
      <c r="AE40" s="7">
        <v>5699</v>
      </c>
      <c r="AF40" s="7">
        <v>5827</v>
      </c>
      <c r="AG40" s="7">
        <v>4522</v>
      </c>
      <c r="AH40" s="7">
        <v>2678</v>
      </c>
      <c r="AI40" s="7">
        <v>1213</v>
      </c>
      <c r="AJ40" s="7">
        <v>2804</v>
      </c>
      <c r="AK40" s="7"/>
      <c r="AL40" s="7"/>
      <c r="AM40" s="3">
        <f t="shared" si="0"/>
        <v>19676.166666666668</v>
      </c>
    </row>
    <row r="41" spans="1:39" x14ac:dyDescent="0.25">
      <c r="A41" s="4">
        <v>45352</v>
      </c>
      <c r="B41" s="7">
        <v>40047</v>
      </c>
      <c r="C41" s="7">
        <v>15582</v>
      </c>
      <c r="D41" s="7"/>
      <c r="E41" s="7">
        <v>14749</v>
      </c>
      <c r="F41" s="7">
        <v>30812</v>
      </c>
      <c r="G41" s="7">
        <v>17667</v>
      </c>
      <c r="H41" s="7">
        <v>7669</v>
      </c>
      <c r="I41" s="7">
        <v>5331</v>
      </c>
      <c r="J41" s="7">
        <v>11226</v>
      </c>
      <c r="K41" s="7">
        <v>10629</v>
      </c>
      <c r="L41" s="7">
        <v>16886</v>
      </c>
      <c r="M41" s="7"/>
      <c r="N41" s="7">
        <v>28944</v>
      </c>
      <c r="O41" s="7">
        <v>45006</v>
      </c>
      <c r="P41" s="7"/>
      <c r="Q41" s="7">
        <v>4503</v>
      </c>
      <c r="R41" s="7">
        <v>12110</v>
      </c>
      <c r="S41" s="7">
        <v>5781</v>
      </c>
      <c r="T41" s="7">
        <v>1226</v>
      </c>
      <c r="U41" s="7">
        <v>7045</v>
      </c>
      <c r="V41" s="7">
        <v>41283</v>
      </c>
      <c r="W41" s="7">
        <v>56494</v>
      </c>
      <c r="X41" s="7">
        <v>94501</v>
      </c>
      <c r="Y41" s="7">
        <v>73864</v>
      </c>
      <c r="Z41" s="7">
        <v>169</v>
      </c>
      <c r="AA41" s="7">
        <v>931</v>
      </c>
      <c r="AB41" s="7"/>
      <c r="AC41" s="7"/>
      <c r="AD41" s="7">
        <v>2101</v>
      </c>
      <c r="AE41" s="7">
        <v>5824</v>
      </c>
      <c r="AF41" s="7">
        <v>5907</v>
      </c>
      <c r="AG41" s="7">
        <v>4849</v>
      </c>
      <c r="AH41" s="7">
        <v>2243</v>
      </c>
      <c r="AI41" s="7">
        <v>1075</v>
      </c>
      <c r="AJ41" s="7">
        <v>2752</v>
      </c>
      <c r="AK41" s="7"/>
      <c r="AL41" s="7"/>
      <c r="AM41" s="3">
        <f t="shared" si="0"/>
        <v>18906.866666666665</v>
      </c>
    </row>
    <row r="42" spans="1:39" x14ac:dyDescent="0.25">
      <c r="A42" s="4">
        <v>45383</v>
      </c>
      <c r="B42" s="7">
        <v>44630</v>
      </c>
      <c r="C42" s="7">
        <v>16268</v>
      </c>
      <c r="D42" s="7"/>
      <c r="E42" s="7">
        <v>15159</v>
      </c>
      <c r="F42" s="7">
        <v>33360</v>
      </c>
      <c r="G42" s="7">
        <v>17292</v>
      </c>
      <c r="H42" s="7">
        <v>7384</v>
      </c>
      <c r="I42" s="7">
        <v>9760</v>
      </c>
      <c r="J42" s="7">
        <v>11725</v>
      </c>
      <c r="K42" s="7">
        <v>11065</v>
      </c>
      <c r="L42" s="7">
        <v>18486</v>
      </c>
      <c r="M42" s="7"/>
      <c r="N42" s="7">
        <v>23862</v>
      </c>
      <c r="O42" s="7">
        <v>48524</v>
      </c>
      <c r="P42" s="7"/>
      <c r="Q42" s="7">
        <v>3084</v>
      </c>
      <c r="R42" s="7">
        <v>12988</v>
      </c>
      <c r="S42" s="7">
        <v>6100</v>
      </c>
      <c r="T42" s="7">
        <v>2057</v>
      </c>
      <c r="U42" s="7">
        <v>8656</v>
      </c>
      <c r="V42" s="7">
        <v>45347</v>
      </c>
      <c r="W42" s="7">
        <v>62628</v>
      </c>
      <c r="X42" s="7">
        <v>100005</v>
      </c>
      <c r="Y42" s="7">
        <v>80827</v>
      </c>
      <c r="Z42" s="7">
        <v>423</v>
      </c>
      <c r="AA42" s="7">
        <v>1401</v>
      </c>
      <c r="AB42" s="7">
        <v>3003</v>
      </c>
      <c r="AC42" s="7"/>
      <c r="AD42" s="7">
        <v>3672</v>
      </c>
      <c r="AE42" s="7">
        <v>6081</v>
      </c>
      <c r="AF42" s="7">
        <v>8213</v>
      </c>
      <c r="AG42" s="7">
        <v>5364</v>
      </c>
      <c r="AH42" s="7">
        <v>2688</v>
      </c>
      <c r="AI42" s="7">
        <v>1058</v>
      </c>
      <c r="AJ42" s="7">
        <v>2560</v>
      </c>
      <c r="AK42" s="7"/>
      <c r="AL42" s="7"/>
      <c r="AM42" s="3">
        <f t="shared" si="0"/>
        <v>19795.806451612902</v>
      </c>
    </row>
    <row r="43" spans="1:39" x14ac:dyDescent="0.25">
      <c r="A43" s="4">
        <v>45413</v>
      </c>
      <c r="B43" s="7">
        <v>42014</v>
      </c>
      <c r="C43" s="7">
        <v>15572</v>
      </c>
      <c r="D43" s="7"/>
      <c r="E43" s="7">
        <v>15061</v>
      </c>
      <c r="F43" s="7">
        <v>30246</v>
      </c>
      <c r="G43" s="7">
        <v>17036</v>
      </c>
      <c r="H43" s="7">
        <v>7197</v>
      </c>
      <c r="I43" s="7">
        <v>9990</v>
      </c>
      <c r="J43" s="7">
        <v>11219</v>
      </c>
      <c r="K43" s="7">
        <v>12246</v>
      </c>
      <c r="L43" s="7">
        <v>17199</v>
      </c>
      <c r="M43" s="7"/>
      <c r="N43" s="7">
        <v>24570</v>
      </c>
      <c r="O43" s="7">
        <v>47637</v>
      </c>
      <c r="P43" s="7"/>
      <c r="Q43" s="7">
        <v>2969</v>
      </c>
      <c r="R43" s="7">
        <v>11264</v>
      </c>
      <c r="S43" s="7">
        <v>6047</v>
      </c>
      <c r="T43" s="7">
        <v>2485</v>
      </c>
      <c r="U43" s="7">
        <v>9440</v>
      </c>
      <c r="V43" s="7">
        <v>42816</v>
      </c>
      <c r="W43" s="7">
        <v>63700</v>
      </c>
      <c r="X43" s="7">
        <v>98744</v>
      </c>
      <c r="Y43" s="7">
        <v>78992</v>
      </c>
      <c r="Z43" s="7">
        <v>461</v>
      </c>
      <c r="AA43" s="7">
        <v>1126</v>
      </c>
      <c r="AB43" s="7">
        <v>3285</v>
      </c>
      <c r="AC43" s="7"/>
      <c r="AD43" s="7">
        <v>4174</v>
      </c>
      <c r="AE43" s="7">
        <v>5708</v>
      </c>
      <c r="AF43" s="7">
        <v>9307</v>
      </c>
      <c r="AG43" s="7">
        <v>4850</v>
      </c>
      <c r="AH43" s="7">
        <v>2277</v>
      </c>
      <c r="AI43" s="7">
        <v>780</v>
      </c>
      <c r="AJ43" s="7">
        <v>2120</v>
      </c>
      <c r="AK43" s="7"/>
      <c r="AL43" s="7"/>
      <c r="AM43" s="3">
        <f t="shared" si="0"/>
        <v>19372</v>
      </c>
    </row>
    <row r="44" spans="1:39" x14ac:dyDescent="0.25">
      <c r="A44" s="4">
        <v>45444</v>
      </c>
      <c r="B44" s="7">
        <v>36077</v>
      </c>
      <c r="C44" s="7">
        <v>13177</v>
      </c>
      <c r="D44" s="7"/>
      <c r="E44" s="7">
        <v>12205</v>
      </c>
      <c r="F44" s="7">
        <v>25990</v>
      </c>
      <c r="G44" s="7">
        <v>14938</v>
      </c>
      <c r="H44" s="7">
        <v>6581</v>
      </c>
      <c r="I44" s="7">
        <v>8909</v>
      </c>
      <c r="J44" s="7">
        <v>9413</v>
      </c>
      <c r="K44" s="7">
        <v>10893</v>
      </c>
      <c r="L44" s="7">
        <v>14051</v>
      </c>
      <c r="M44" s="7"/>
      <c r="N44" s="7">
        <v>21676</v>
      </c>
      <c r="O44" s="7">
        <v>40839</v>
      </c>
      <c r="P44" s="7"/>
      <c r="Q44" s="7">
        <v>2663</v>
      </c>
      <c r="R44" s="7">
        <v>9486</v>
      </c>
      <c r="S44" s="7">
        <v>5718</v>
      </c>
      <c r="T44" s="7">
        <v>2168</v>
      </c>
      <c r="U44" s="7">
        <v>8674</v>
      </c>
      <c r="V44" s="7">
        <v>35705</v>
      </c>
      <c r="W44" s="7">
        <v>56602</v>
      </c>
      <c r="X44" s="7">
        <v>85806</v>
      </c>
      <c r="Y44" s="7">
        <v>65846</v>
      </c>
      <c r="Z44" s="7">
        <v>448</v>
      </c>
      <c r="AA44" s="7">
        <v>736</v>
      </c>
      <c r="AB44" s="7">
        <v>3200</v>
      </c>
      <c r="AC44" s="7"/>
      <c r="AD44" s="7">
        <v>3907</v>
      </c>
      <c r="AE44" s="7">
        <v>5164</v>
      </c>
      <c r="AF44" s="7">
        <v>8484</v>
      </c>
      <c r="AG44" s="7">
        <v>4031</v>
      </c>
      <c r="AH44" s="7">
        <v>1882</v>
      </c>
      <c r="AI44" s="7">
        <v>538</v>
      </c>
      <c r="AJ44" s="7">
        <v>1691</v>
      </c>
      <c r="AK44" s="7"/>
      <c r="AL44" s="7"/>
      <c r="AM44" s="3">
        <f t="shared" si="0"/>
        <v>16693.483870967742</v>
      </c>
    </row>
    <row r="45" spans="1:39" x14ac:dyDescent="0.25">
      <c r="A45" s="4">
        <v>45474</v>
      </c>
      <c r="B45" s="7">
        <v>38769</v>
      </c>
      <c r="C45" s="7">
        <v>14248</v>
      </c>
      <c r="D45" s="7"/>
      <c r="E45" s="7">
        <v>14072</v>
      </c>
      <c r="F45" s="7">
        <v>28356</v>
      </c>
      <c r="G45" s="7">
        <v>16229</v>
      </c>
      <c r="H45" s="7">
        <v>7231</v>
      </c>
      <c r="I45" s="7">
        <v>9881</v>
      </c>
      <c r="J45" s="7">
        <v>9875</v>
      </c>
      <c r="K45" s="7">
        <v>11315</v>
      </c>
      <c r="L45" s="7">
        <v>15298</v>
      </c>
      <c r="M45" s="7"/>
      <c r="N45" s="7">
        <v>22313</v>
      </c>
      <c r="O45" s="7">
        <v>42920</v>
      </c>
      <c r="P45" s="7"/>
      <c r="Q45" s="7">
        <v>2821</v>
      </c>
      <c r="R45" s="7">
        <v>9406</v>
      </c>
      <c r="S45" s="7">
        <v>5955</v>
      </c>
      <c r="T45" s="7">
        <v>2270</v>
      </c>
      <c r="U45" s="7">
        <v>8958</v>
      </c>
      <c r="V45" s="7">
        <v>39343</v>
      </c>
      <c r="W45" s="7">
        <v>59983</v>
      </c>
      <c r="X45" s="7">
        <v>90627</v>
      </c>
      <c r="Y45" s="7">
        <v>71865</v>
      </c>
      <c r="Z45" s="7">
        <v>486</v>
      </c>
      <c r="AA45" s="7">
        <v>779</v>
      </c>
      <c r="AB45" s="7">
        <v>3124</v>
      </c>
      <c r="AC45" s="7"/>
      <c r="AD45" s="7">
        <v>4542</v>
      </c>
      <c r="AE45" s="7">
        <v>5636</v>
      </c>
      <c r="AF45" s="7">
        <v>9393</v>
      </c>
      <c r="AG45" s="7">
        <v>4263</v>
      </c>
      <c r="AH45" s="7">
        <v>2064</v>
      </c>
      <c r="AI45" s="7">
        <v>667</v>
      </c>
      <c r="AJ45" s="7">
        <v>2375</v>
      </c>
      <c r="AK45" s="7"/>
      <c r="AL45" s="7"/>
      <c r="AM45" s="3">
        <f t="shared" si="0"/>
        <v>17905.290322580644</v>
      </c>
    </row>
    <row r="46" spans="1:39" x14ac:dyDescent="0.25">
      <c r="A46" s="4">
        <v>45505</v>
      </c>
      <c r="B46" s="7">
        <v>46269</v>
      </c>
      <c r="C46" s="7">
        <v>17338</v>
      </c>
      <c r="D46" s="7"/>
      <c r="E46" s="7">
        <v>16321</v>
      </c>
      <c r="F46" s="7">
        <v>34311</v>
      </c>
      <c r="G46" s="7">
        <v>18018</v>
      </c>
      <c r="H46" s="7">
        <v>7994</v>
      </c>
      <c r="I46" s="7">
        <v>10692</v>
      </c>
      <c r="J46" s="7">
        <v>12579</v>
      </c>
      <c r="K46" s="7">
        <v>12495</v>
      </c>
      <c r="L46" s="7">
        <v>18896</v>
      </c>
      <c r="M46" s="7"/>
      <c r="N46" s="7">
        <v>25307</v>
      </c>
      <c r="O46" s="7">
        <v>48050</v>
      </c>
      <c r="P46" s="7"/>
      <c r="Q46" s="7">
        <v>3494</v>
      </c>
      <c r="R46" s="7">
        <v>12528</v>
      </c>
      <c r="S46" s="7">
        <v>6308</v>
      </c>
      <c r="T46" s="7">
        <v>2714</v>
      </c>
      <c r="U46" s="7">
        <v>9587</v>
      </c>
      <c r="V46" s="7">
        <v>49260</v>
      </c>
      <c r="W46" s="7">
        <v>64578</v>
      </c>
      <c r="X46" s="7">
        <v>101587</v>
      </c>
      <c r="Y46" s="7">
        <v>84523</v>
      </c>
      <c r="Z46" s="7">
        <v>488</v>
      </c>
      <c r="AA46" s="7">
        <v>1654</v>
      </c>
      <c r="AB46" s="7">
        <v>3888</v>
      </c>
      <c r="AC46" s="7"/>
      <c r="AD46" s="7">
        <v>6440</v>
      </c>
      <c r="AE46" s="7">
        <v>5992</v>
      </c>
      <c r="AF46" s="7">
        <v>10444</v>
      </c>
      <c r="AG46" s="7">
        <v>4564</v>
      </c>
      <c r="AH46" s="7">
        <v>2192</v>
      </c>
      <c r="AI46" s="7">
        <v>1260</v>
      </c>
      <c r="AJ46" s="7">
        <v>3018</v>
      </c>
      <c r="AK46" s="7"/>
      <c r="AL46" s="7"/>
      <c r="AM46" s="3">
        <f t="shared" si="0"/>
        <v>20735.129032258064</v>
      </c>
    </row>
    <row r="47" spans="1:39" x14ac:dyDescent="0.25">
      <c r="A47" s="4">
        <v>45536</v>
      </c>
      <c r="B47" s="7">
        <v>43387</v>
      </c>
      <c r="C47" s="7">
        <v>17115</v>
      </c>
      <c r="D47" s="7"/>
      <c r="E47" s="7">
        <v>15214</v>
      </c>
      <c r="F47" s="7">
        <v>33001</v>
      </c>
      <c r="G47" s="7">
        <v>16521</v>
      </c>
      <c r="H47" s="7">
        <v>7619</v>
      </c>
      <c r="I47" s="7">
        <v>10061</v>
      </c>
      <c r="J47" s="7">
        <v>12402</v>
      </c>
      <c r="K47" s="7">
        <v>11326</v>
      </c>
      <c r="L47" s="7">
        <v>18280</v>
      </c>
      <c r="M47" s="7"/>
      <c r="N47" s="7">
        <v>23870</v>
      </c>
      <c r="O47" s="7">
        <v>44690</v>
      </c>
      <c r="P47" s="7"/>
      <c r="Q47" s="7">
        <v>3163</v>
      </c>
      <c r="R47" s="7">
        <v>12423</v>
      </c>
      <c r="S47" s="7">
        <v>6255</v>
      </c>
      <c r="T47" s="7">
        <v>2746</v>
      </c>
      <c r="U47" s="7">
        <v>8947</v>
      </c>
      <c r="V47" s="7">
        <v>44506</v>
      </c>
      <c r="W47" s="7">
        <v>58177</v>
      </c>
      <c r="X47" s="7">
        <v>93770</v>
      </c>
      <c r="Y47" s="7">
        <v>78941</v>
      </c>
      <c r="Z47" s="7">
        <v>541</v>
      </c>
      <c r="AA47" s="7">
        <v>1682</v>
      </c>
      <c r="AB47" s="7">
        <v>3767</v>
      </c>
      <c r="AC47" s="7"/>
      <c r="AD47" s="7">
        <v>6727</v>
      </c>
      <c r="AE47" s="7">
        <v>5907</v>
      </c>
      <c r="AF47" s="7">
        <v>9810</v>
      </c>
      <c r="AG47" s="7">
        <v>4505</v>
      </c>
      <c r="AH47" s="7">
        <v>2613</v>
      </c>
      <c r="AI47" s="7">
        <v>1244</v>
      </c>
      <c r="AJ47" s="7">
        <v>2545</v>
      </c>
      <c r="AK47" s="7"/>
      <c r="AL47" s="7"/>
      <c r="AM47" s="3">
        <f t="shared" si="0"/>
        <v>19411.451612903227</v>
      </c>
    </row>
    <row r="48" spans="1:39" x14ac:dyDescent="0.25">
      <c r="A48" s="4">
        <v>45566</v>
      </c>
      <c r="B48" s="7">
        <v>48561</v>
      </c>
      <c r="C48" s="7">
        <v>20318</v>
      </c>
      <c r="D48" s="7"/>
      <c r="E48" s="7">
        <v>17265</v>
      </c>
      <c r="F48" s="7">
        <v>38058</v>
      </c>
      <c r="G48" s="7">
        <v>19236</v>
      </c>
      <c r="H48" s="7">
        <v>8882</v>
      </c>
      <c r="I48" s="7">
        <v>11742</v>
      </c>
      <c r="J48" s="7">
        <v>13681</v>
      </c>
      <c r="K48" s="7">
        <v>13482</v>
      </c>
      <c r="L48" s="7">
        <v>20215</v>
      </c>
      <c r="M48" s="7"/>
      <c r="N48" s="7">
        <v>27721</v>
      </c>
      <c r="O48" s="7">
        <v>52109</v>
      </c>
      <c r="P48" s="7"/>
      <c r="Q48" s="7">
        <v>3633</v>
      </c>
      <c r="R48" s="7">
        <v>13937</v>
      </c>
      <c r="S48" s="7">
        <v>7688</v>
      </c>
      <c r="T48" s="7">
        <v>3264</v>
      </c>
      <c r="U48" s="7">
        <v>10802</v>
      </c>
      <c r="V48" s="7">
        <v>50968</v>
      </c>
      <c r="W48" s="7">
        <v>65429</v>
      </c>
      <c r="X48" s="7">
        <v>106911</v>
      </c>
      <c r="Y48" s="7">
        <v>88933</v>
      </c>
      <c r="Z48" s="7">
        <v>590</v>
      </c>
      <c r="AA48" s="7">
        <v>1545</v>
      </c>
      <c r="AB48" s="7">
        <v>4704</v>
      </c>
      <c r="AC48" s="7"/>
      <c r="AD48" s="7">
        <v>7895</v>
      </c>
      <c r="AE48" s="7">
        <v>7064</v>
      </c>
      <c r="AF48" s="7">
        <v>11131</v>
      </c>
      <c r="AG48" s="7">
        <v>4832</v>
      </c>
      <c r="AH48" s="7">
        <v>2818</v>
      </c>
      <c r="AI48" s="7">
        <v>778</v>
      </c>
      <c r="AJ48" s="7">
        <v>2755</v>
      </c>
      <c r="AK48" s="7"/>
      <c r="AL48" s="7"/>
      <c r="AM48" s="3">
        <f t="shared" si="0"/>
        <v>22159.580645161292</v>
      </c>
    </row>
    <row r="49" spans="1:39" x14ac:dyDescent="0.25">
      <c r="A49" s="4">
        <v>45597</v>
      </c>
      <c r="B49" s="7">
        <v>37626</v>
      </c>
      <c r="C49" s="7">
        <v>16623</v>
      </c>
      <c r="D49" s="7"/>
      <c r="E49" s="7">
        <v>14522</v>
      </c>
      <c r="F49" s="7">
        <v>30498</v>
      </c>
      <c r="G49" s="7">
        <v>16932</v>
      </c>
      <c r="H49" s="7">
        <v>6754</v>
      </c>
      <c r="I49" s="7">
        <v>10128</v>
      </c>
      <c r="J49" s="7">
        <v>10911</v>
      </c>
      <c r="K49" s="7">
        <v>10590</v>
      </c>
      <c r="L49" s="7">
        <v>16164</v>
      </c>
      <c r="M49" s="7"/>
      <c r="N49" s="7">
        <v>23003</v>
      </c>
      <c r="O49" s="7">
        <v>41520</v>
      </c>
      <c r="P49" s="7"/>
      <c r="Q49" s="7">
        <v>2803</v>
      </c>
      <c r="R49" s="7">
        <v>10480</v>
      </c>
      <c r="S49" s="7">
        <v>6029</v>
      </c>
      <c r="T49" s="7">
        <v>3296</v>
      </c>
      <c r="U49" s="7">
        <v>8175</v>
      </c>
      <c r="V49" s="7">
        <v>41456</v>
      </c>
      <c r="W49" s="7">
        <v>52410</v>
      </c>
      <c r="X49" s="7">
        <v>87777</v>
      </c>
      <c r="Y49" s="7">
        <v>76030</v>
      </c>
      <c r="Z49" s="7">
        <v>504</v>
      </c>
      <c r="AA49" s="7">
        <v>1244</v>
      </c>
      <c r="AB49" s="7">
        <v>4082</v>
      </c>
      <c r="AC49" s="7"/>
      <c r="AD49" s="7">
        <v>6361</v>
      </c>
      <c r="AE49" s="7">
        <v>5961</v>
      </c>
      <c r="AF49" s="7">
        <v>9116</v>
      </c>
      <c r="AG49" s="7">
        <v>3906</v>
      </c>
      <c r="AH49" s="7">
        <v>2351</v>
      </c>
      <c r="AI49" s="7">
        <v>627</v>
      </c>
      <c r="AJ49" s="7">
        <v>2658</v>
      </c>
      <c r="AK49" s="7"/>
      <c r="AL49" s="7"/>
      <c r="AM49" s="3">
        <f t="shared" si="0"/>
        <v>18081.83870967742</v>
      </c>
    </row>
    <row r="50" spans="1:39" x14ac:dyDescent="0.25">
      <c r="A50" s="4">
        <v>45627</v>
      </c>
      <c r="B50" s="7">
        <v>34242</v>
      </c>
      <c r="C50" s="7">
        <v>15704</v>
      </c>
      <c r="D50" s="7"/>
      <c r="E50" s="7">
        <v>13127</v>
      </c>
      <c r="F50" s="7">
        <v>26529</v>
      </c>
      <c r="G50" s="7">
        <v>17102</v>
      </c>
      <c r="H50" s="7">
        <v>6556</v>
      </c>
      <c r="I50" s="7">
        <v>9524</v>
      </c>
      <c r="J50" s="7">
        <v>9961</v>
      </c>
      <c r="K50" s="7">
        <v>9646</v>
      </c>
      <c r="L50" s="7">
        <v>14556</v>
      </c>
      <c r="M50" s="7"/>
      <c r="N50" s="7">
        <v>21648</v>
      </c>
      <c r="O50" s="7">
        <v>41526</v>
      </c>
      <c r="P50" s="7"/>
      <c r="Q50" s="7">
        <v>2643</v>
      </c>
      <c r="R50" s="7">
        <v>8949</v>
      </c>
      <c r="S50" s="7">
        <v>6493</v>
      </c>
      <c r="T50" s="7">
        <v>2793</v>
      </c>
      <c r="U50" s="7">
        <v>6031</v>
      </c>
      <c r="V50" s="7">
        <v>40437</v>
      </c>
      <c r="W50" s="7">
        <v>47327</v>
      </c>
      <c r="X50" s="7">
        <v>83356</v>
      </c>
      <c r="Y50" s="7">
        <v>73974</v>
      </c>
      <c r="Z50" s="7">
        <v>1628</v>
      </c>
      <c r="AA50" s="7">
        <v>1168</v>
      </c>
      <c r="AB50" s="7">
        <v>3777</v>
      </c>
      <c r="AC50" s="7"/>
      <c r="AD50" s="7">
        <v>5145</v>
      </c>
      <c r="AE50" s="7">
        <v>5795</v>
      </c>
      <c r="AF50" s="7">
        <v>8095</v>
      </c>
      <c r="AG50" s="7">
        <v>3958</v>
      </c>
      <c r="AH50" s="7">
        <v>1825</v>
      </c>
      <c r="AI50" s="7">
        <v>482</v>
      </c>
      <c r="AJ50" s="7">
        <v>2485</v>
      </c>
      <c r="AK50" s="7"/>
      <c r="AL50" s="7"/>
      <c r="AM50" s="3">
        <f t="shared" si="0"/>
        <v>16983.290322580644</v>
      </c>
    </row>
    <row r="51" spans="1:39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9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9" x14ac:dyDescent="0.25">
      <c r="B53" s="7"/>
      <c r="C53" s="7"/>
      <c r="D53" s="7"/>
      <c r="E53" s="7"/>
      <c r="F53" s="9"/>
      <c r="G53" s="7"/>
      <c r="H53" s="9"/>
      <c r="I53" s="7"/>
      <c r="J53" s="9"/>
      <c r="K53" s="7"/>
      <c r="L53" s="9"/>
      <c r="M53" s="7"/>
      <c r="N53" s="9"/>
      <c r="O53" s="7"/>
      <c r="P53" s="7"/>
      <c r="Q53" s="7"/>
      <c r="R53" s="7"/>
      <c r="S53" s="9"/>
      <c r="T53" s="7"/>
      <c r="U53" s="9"/>
      <c r="V53" s="7"/>
      <c r="W53" s="9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9" x14ac:dyDescent="0.25">
      <c r="B54" s="7"/>
      <c r="C54" s="7"/>
      <c r="D54" s="9"/>
      <c r="E54" s="7"/>
      <c r="F54" s="9"/>
      <c r="G54" s="7"/>
      <c r="H54" s="9"/>
      <c r="I54" s="10"/>
      <c r="J54" s="9"/>
      <c r="K54" s="10"/>
      <c r="L54" s="9"/>
      <c r="M54" s="7"/>
      <c r="N54" s="9"/>
      <c r="O54" s="7"/>
      <c r="P54" s="7"/>
      <c r="Q54" s="9"/>
      <c r="R54" s="7"/>
      <c r="S54" s="9"/>
      <c r="T54" s="7"/>
      <c r="U54" s="9"/>
      <c r="V54" s="7"/>
      <c r="W54" s="9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9" x14ac:dyDescent="0.25">
      <c r="B55" s="7"/>
      <c r="C55" s="7"/>
      <c r="D55" s="9"/>
      <c r="E55" s="7"/>
      <c r="F55" s="11"/>
      <c r="G55" s="7"/>
      <c r="H55" s="9"/>
      <c r="I55" s="9"/>
      <c r="J55" s="11"/>
      <c r="K55" s="10"/>
      <c r="L55" s="11"/>
      <c r="M55" s="7"/>
      <c r="N55" s="11"/>
      <c r="O55" s="7"/>
      <c r="P55" s="7"/>
      <c r="Q55" s="9"/>
      <c r="R55" s="7"/>
      <c r="S55" s="11"/>
      <c r="T55" s="7"/>
      <c r="U55" s="11"/>
      <c r="V55" s="7"/>
      <c r="W55" s="11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9" x14ac:dyDescent="0.25">
      <c r="B56" s="7"/>
      <c r="C56" s="7"/>
      <c r="D56" s="11"/>
      <c r="E56" s="7"/>
      <c r="F56" s="9"/>
      <c r="G56" s="7"/>
      <c r="H56" s="9"/>
      <c r="I56" s="9"/>
      <c r="J56" s="9"/>
      <c r="K56" s="9"/>
      <c r="L56" s="9"/>
      <c r="M56" s="7"/>
      <c r="N56" s="9"/>
      <c r="O56" s="7"/>
      <c r="P56" s="7"/>
      <c r="Q56" s="9"/>
      <c r="R56" s="7"/>
      <c r="S56" s="9"/>
      <c r="T56" s="7"/>
      <c r="U56" s="9"/>
      <c r="V56" s="7"/>
      <c r="W56" s="9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9" x14ac:dyDescent="0.25">
      <c r="B57" s="7"/>
      <c r="C57" s="7"/>
      <c r="D57" s="9"/>
      <c r="E57" s="7"/>
      <c r="F57" s="9"/>
      <c r="G57" s="9"/>
      <c r="H57" s="9"/>
      <c r="I57" s="9"/>
      <c r="J57" s="9"/>
      <c r="K57" s="9"/>
      <c r="L57" s="9"/>
      <c r="M57" s="7"/>
      <c r="N57" s="9"/>
      <c r="O57" s="7"/>
      <c r="P57" s="7"/>
      <c r="Q57" s="9"/>
      <c r="R57" s="7"/>
      <c r="S57" s="9"/>
      <c r="T57" s="7"/>
      <c r="U57" s="9"/>
      <c r="V57" s="7"/>
      <c r="W57" s="9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9" x14ac:dyDescent="0.25">
      <c r="B58" s="7"/>
      <c r="C58" s="7"/>
      <c r="D58" s="9"/>
      <c r="E58" s="7"/>
      <c r="F58" s="9"/>
      <c r="G58" s="9"/>
      <c r="H58" s="9"/>
      <c r="I58" s="9"/>
      <c r="J58" s="9"/>
      <c r="K58" s="9"/>
      <c r="L58" s="9"/>
      <c r="M58" s="7"/>
      <c r="N58" s="9"/>
      <c r="O58" s="7"/>
      <c r="P58" s="7"/>
      <c r="Q58" s="9"/>
      <c r="R58" s="7"/>
      <c r="S58" s="9"/>
      <c r="T58" s="7"/>
      <c r="U58" s="9"/>
      <c r="V58" s="7"/>
      <c r="W58" s="9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9" x14ac:dyDescent="0.25">
      <c r="B59" s="7"/>
      <c r="C59" s="7"/>
      <c r="D59" s="9"/>
      <c r="E59" s="7"/>
      <c r="F59" s="9"/>
      <c r="G59" s="9"/>
      <c r="H59" s="9"/>
      <c r="I59" s="9"/>
      <c r="J59" s="9"/>
      <c r="K59" s="9"/>
      <c r="L59" s="9"/>
      <c r="M59" s="7"/>
      <c r="N59" s="9"/>
      <c r="O59" s="7"/>
      <c r="P59" s="7"/>
      <c r="Q59" s="9"/>
      <c r="R59" s="7"/>
      <c r="S59" s="9"/>
      <c r="T59" s="7"/>
      <c r="U59" s="9"/>
      <c r="V59" s="7"/>
      <c r="W59" s="9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9" x14ac:dyDescent="0.25">
      <c r="B60" s="7"/>
      <c r="C60" s="7"/>
      <c r="D60" s="9"/>
      <c r="E60" s="7"/>
      <c r="F60" s="9"/>
      <c r="G60" s="9"/>
      <c r="H60" s="9"/>
      <c r="I60" s="9"/>
      <c r="J60" s="9"/>
      <c r="K60" s="9"/>
      <c r="L60" s="9"/>
      <c r="M60" s="7"/>
      <c r="N60" s="9"/>
      <c r="O60" s="7"/>
      <c r="P60" s="7"/>
      <c r="Q60" s="9"/>
      <c r="R60" s="7"/>
      <c r="S60" s="9"/>
      <c r="T60" s="7"/>
      <c r="U60" s="9"/>
      <c r="V60" s="7"/>
      <c r="W60" s="9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9" x14ac:dyDescent="0.25">
      <c r="B61" s="7"/>
      <c r="C61" s="7"/>
      <c r="D61" s="9"/>
      <c r="E61" s="7"/>
      <c r="F61" s="9"/>
      <c r="G61" s="9"/>
      <c r="H61" s="9"/>
      <c r="I61" s="9"/>
      <c r="J61" s="9"/>
      <c r="K61" s="9"/>
      <c r="L61" s="9"/>
      <c r="M61" s="7"/>
      <c r="N61" s="9"/>
      <c r="O61" s="7"/>
      <c r="P61" s="7"/>
      <c r="Q61" s="9"/>
      <c r="R61" s="7"/>
      <c r="S61" s="9"/>
      <c r="T61" s="7"/>
      <c r="U61" s="9"/>
      <c r="V61" s="7"/>
      <c r="W61" s="9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9" x14ac:dyDescent="0.25">
      <c r="B62" s="7"/>
      <c r="C62" s="7"/>
      <c r="D62" s="9"/>
      <c r="E62" s="7"/>
      <c r="F62" s="9"/>
      <c r="G62" s="9"/>
      <c r="H62" s="9"/>
      <c r="I62" s="9"/>
      <c r="J62" s="9"/>
      <c r="K62" s="9"/>
      <c r="L62" s="9"/>
      <c r="M62" s="7"/>
      <c r="N62" s="9"/>
      <c r="O62" s="7"/>
      <c r="P62" s="7"/>
      <c r="Q62" s="9"/>
      <c r="R62" s="7"/>
      <c r="S62" s="9"/>
      <c r="T62" s="7"/>
      <c r="U62" s="9"/>
      <c r="V62" s="7"/>
      <c r="W62" s="9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9" x14ac:dyDescent="0.25">
      <c r="B63" s="7"/>
      <c r="C63" s="7"/>
      <c r="D63" s="9"/>
      <c r="E63" s="7"/>
      <c r="F63" s="9"/>
      <c r="G63" s="9"/>
      <c r="H63" s="9"/>
      <c r="I63" s="9"/>
      <c r="J63" s="9"/>
      <c r="K63" s="9"/>
      <c r="L63" s="9"/>
      <c r="M63" s="7"/>
      <c r="N63" s="9"/>
      <c r="O63" s="7"/>
      <c r="P63" s="7"/>
      <c r="Q63" s="9"/>
      <c r="R63" s="7"/>
      <c r="S63" s="9"/>
      <c r="T63" s="7"/>
      <c r="U63" s="9"/>
      <c r="V63" s="7"/>
      <c r="W63" s="9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9" x14ac:dyDescent="0.25">
      <c r="B64" s="7"/>
      <c r="C64" s="7"/>
      <c r="D64" s="9"/>
      <c r="E64" s="7"/>
      <c r="F64" s="11"/>
      <c r="G64" s="9"/>
      <c r="H64" s="9"/>
      <c r="I64" s="9"/>
      <c r="J64" s="11"/>
      <c r="K64" s="9"/>
      <c r="L64" s="11"/>
      <c r="M64" s="7"/>
      <c r="N64" s="11"/>
      <c r="O64" s="7"/>
      <c r="P64" s="7"/>
      <c r="Q64" s="9"/>
      <c r="R64" s="7"/>
      <c r="S64" s="11"/>
      <c r="T64" s="7"/>
      <c r="U64" s="11"/>
      <c r="V64" s="7"/>
      <c r="W64" s="11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2:38" x14ac:dyDescent="0.25">
      <c r="B65" s="7"/>
      <c r="C65" s="7"/>
      <c r="D65" s="11"/>
      <c r="E65" s="7"/>
      <c r="F65" s="9"/>
      <c r="G65" s="9"/>
      <c r="H65" s="9"/>
      <c r="I65" s="9"/>
      <c r="J65" s="9"/>
      <c r="K65" s="9"/>
      <c r="L65" s="9"/>
      <c r="M65" s="7"/>
      <c r="N65" s="9"/>
      <c r="O65" s="7"/>
      <c r="P65" s="7"/>
      <c r="Q65" s="11"/>
      <c r="R65" s="7"/>
      <c r="S65" s="9"/>
      <c r="T65" s="7"/>
      <c r="U65" s="9"/>
      <c r="V65" s="7"/>
      <c r="W65" s="9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2:38" x14ac:dyDescent="0.25">
      <c r="B66" s="7"/>
      <c r="C66" s="7"/>
      <c r="D66" s="9"/>
      <c r="E66" s="7"/>
      <c r="F66" s="9"/>
      <c r="G66" s="9"/>
      <c r="H66" s="9"/>
      <c r="I66" s="9"/>
      <c r="J66" s="9"/>
      <c r="K66" s="9"/>
      <c r="L66" s="9"/>
      <c r="M66" s="7"/>
      <c r="N66" s="9"/>
      <c r="O66" s="7"/>
      <c r="P66" s="7"/>
      <c r="Q66" s="9"/>
      <c r="R66" s="7"/>
      <c r="S66" s="9"/>
      <c r="T66" s="7"/>
      <c r="U66" s="9"/>
      <c r="V66" s="7"/>
      <c r="W66" s="9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2:38" x14ac:dyDescent="0.25">
      <c r="B67" s="7"/>
      <c r="C67" s="7"/>
      <c r="D67" s="9"/>
      <c r="E67" s="7"/>
      <c r="F67" s="11"/>
      <c r="G67" s="9"/>
      <c r="H67" s="9"/>
      <c r="I67" s="9"/>
      <c r="J67" s="11"/>
      <c r="K67" s="9"/>
      <c r="L67" s="11"/>
      <c r="M67" s="7"/>
      <c r="N67" s="11"/>
      <c r="O67" s="7"/>
      <c r="P67" s="7"/>
      <c r="Q67" s="9"/>
      <c r="R67" s="7"/>
      <c r="S67" s="11"/>
      <c r="T67" s="7"/>
      <c r="U67" s="11"/>
      <c r="V67" s="7"/>
      <c r="W67" s="11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2:38" x14ac:dyDescent="0.25">
      <c r="B68" s="7"/>
      <c r="C68" s="7"/>
      <c r="D68" s="11"/>
      <c r="E68" s="7"/>
      <c r="F68" s="9"/>
      <c r="G68" s="9"/>
      <c r="H68" s="9"/>
      <c r="I68" s="9"/>
      <c r="J68" s="9"/>
      <c r="K68" s="9"/>
      <c r="L68" s="9"/>
      <c r="M68" s="7"/>
      <c r="N68" s="9"/>
      <c r="O68" s="7"/>
      <c r="P68" s="7"/>
      <c r="Q68" s="11"/>
      <c r="R68" s="7"/>
      <c r="S68" s="9"/>
      <c r="T68" s="7"/>
      <c r="U68" s="9"/>
      <c r="V68" s="7"/>
      <c r="W68" s="9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2:38" x14ac:dyDescent="0.25">
      <c r="B69" s="7"/>
      <c r="C69" s="7"/>
      <c r="D69" s="9"/>
      <c r="E69" s="7"/>
      <c r="F69" s="9"/>
      <c r="G69" s="9"/>
      <c r="H69" s="9"/>
      <c r="I69" s="9"/>
      <c r="J69" s="9"/>
      <c r="K69" s="9"/>
      <c r="L69" s="9"/>
      <c r="M69" s="7"/>
      <c r="N69" s="9"/>
      <c r="O69" s="7"/>
      <c r="P69" s="7"/>
      <c r="Q69" s="9"/>
      <c r="R69" s="7"/>
      <c r="S69" s="9"/>
      <c r="T69" s="7"/>
      <c r="U69" s="9"/>
      <c r="V69" s="7"/>
      <c r="W69" s="9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2:38" x14ac:dyDescent="0.25">
      <c r="B70" s="7"/>
      <c r="C70" s="7"/>
      <c r="D70" s="9"/>
      <c r="E70" s="7"/>
      <c r="F70" s="9"/>
      <c r="G70" s="9"/>
      <c r="H70" s="9"/>
      <c r="I70" s="9"/>
      <c r="J70" s="9"/>
      <c r="K70" s="9"/>
      <c r="L70" s="9"/>
      <c r="M70" s="7"/>
      <c r="N70" s="9"/>
      <c r="O70" s="7"/>
      <c r="P70" s="7"/>
      <c r="Q70" s="9"/>
      <c r="R70" s="7"/>
      <c r="S70" s="9"/>
      <c r="T70" s="7"/>
      <c r="U70" s="9"/>
      <c r="V70" s="7"/>
      <c r="W70" s="9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2:38" x14ac:dyDescent="0.25">
      <c r="B71" s="7"/>
      <c r="C71" s="7"/>
      <c r="D71" s="9"/>
      <c r="E71" s="7"/>
      <c r="F71" s="11"/>
      <c r="G71" s="9"/>
      <c r="H71" s="9"/>
      <c r="I71" s="9"/>
      <c r="J71" s="9"/>
      <c r="K71" s="9"/>
      <c r="L71" s="9"/>
      <c r="M71" s="7"/>
      <c r="N71" s="9"/>
      <c r="O71" s="7"/>
      <c r="P71" s="7"/>
      <c r="Q71" s="9"/>
      <c r="R71" s="7"/>
      <c r="S71" s="9"/>
      <c r="T71" s="7"/>
      <c r="U71" s="9"/>
      <c r="V71" s="7"/>
      <c r="W71" s="11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2:38" x14ac:dyDescent="0.25">
      <c r="B72" s="7"/>
      <c r="C72" s="7"/>
      <c r="D72" s="11"/>
      <c r="E72" s="7"/>
      <c r="F72" s="9"/>
      <c r="G72" s="9"/>
      <c r="H72" s="9"/>
      <c r="I72" s="9"/>
      <c r="J72" s="9"/>
      <c r="K72" s="9"/>
      <c r="L72" s="9"/>
      <c r="M72" s="7"/>
      <c r="N72" s="9"/>
      <c r="O72" s="7"/>
      <c r="P72" s="7"/>
      <c r="Q72" s="9"/>
      <c r="R72" s="7"/>
      <c r="S72" s="9"/>
      <c r="T72" s="7"/>
      <c r="U72" s="9"/>
      <c r="V72" s="7"/>
      <c r="W72" s="9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2:38" x14ac:dyDescent="0.25">
      <c r="B73" s="7"/>
      <c r="C73" s="7"/>
      <c r="D73" s="9"/>
      <c r="E73" s="7"/>
      <c r="F73" s="9"/>
      <c r="G73" s="9"/>
      <c r="H73" s="9"/>
      <c r="I73" s="9"/>
      <c r="J73" s="9"/>
      <c r="K73" s="9"/>
      <c r="L73" s="9"/>
      <c r="M73" s="7"/>
      <c r="N73" s="9"/>
      <c r="O73" s="7"/>
      <c r="P73" s="7"/>
      <c r="Q73" s="9"/>
      <c r="R73" s="7"/>
      <c r="S73" s="9"/>
      <c r="T73" s="7"/>
      <c r="U73" s="9"/>
      <c r="V73" s="7"/>
      <c r="W73" s="9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2:38" x14ac:dyDescent="0.25">
      <c r="B74" s="7"/>
      <c r="C74" s="7"/>
      <c r="D74" s="9"/>
      <c r="E74" s="7"/>
      <c r="F74" s="9"/>
      <c r="G74" s="9"/>
      <c r="H74" s="9"/>
      <c r="I74" s="9"/>
      <c r="J74" s="9"/>
      <c r="K74" s="11"/>
      <c r="L74" s="9"/>
      <c r="M74" s="7"/>
      <c r="N74" s="9"/>
      <c r="O74" s="7"/>
      <c r="P74" s="7"/>
      <c r="Q74" s="9"/>
      <c r="R74" s="7"/>
      <c r="S74" s="9"/>
      <c r="T74" s="7"/>
      <c r="U74" s="9"/>
      <c r="V74" s="7"/>
      <c r="W74" s="9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2:38" x14ac:dyDescent="0.25">
      <c r="B75" s="7"/>
      <c r="C75" s="7"/>
      <c r="D75" s="9"/>
      <c r="E75" s="7"/>
      <c r="F75" s="9"/>
      <c r="G75" s="11"/>
      <c r="H75" s="9"/>
      <c r="I75" s="9"/>
      <c r="J75" s="9"/>
      <c r="K75" s="9"/>
      <c r="L75" s="9"/>
      <c r="M75" s="7"/>
      <c r="N75" s="9"/>
      <c r="O75" s="7"/>
      <c r="P75" s="7"/>
      <c r="Q75" s="9"/>
      <c r="R75" s="7"/>
      <c r="S75" s="9"/>
      <c r="T75" s="7"/>
      <c r="U75" s="9"/>
      <c r="V75" s="7"/>
      <c r="W75" s="9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2:38" x14ac:dyDescent="0.25">
      <c r="B76" s="7"/>
      <c r="C76" s="7"/>
      <c r="D76" s="9"/>
      <c r="E76" s="7"/>
      <c r="F76" s="9"/>
      <c r="G76" s="9"/>
      <c r="H76" s="9"/>
      <c r="I76" s="9"/>
      <c r="J76" s="9"/>
      <c r="K76" s="9"/>
      <c r="L76" s="9"/>
      <c r="M76" s="7"/>
      <c r="N76" s="9"/>
      <c r="O76" s="7"/>
      <c r="P76" s="7"/>
      <c r="Q76" s="9"/>
      <c r="R76" s="7"/>
      <c r="S76" s="9"/>
      <c r="T76" s="7"/>
      <c r="U76" s="9"/>
      <c r="V76" s="7"/>
      <c r="W76" s="9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2:38" x14ac:dyDescent="0.25">
      <c r="B77" s="7"/>
      <c r="C77" s="7"/>
      <c r="D77" s="9"/>
      <c r="E77" s="7"/>
      <c r="F77" s="11"/>
      <c r="G77" s="9"/>
      <c r="H77" s="11"/>
      <c r="I77" s="9"/>
      <c r="J77" s="11"/>
      <c r="K77" s="9"/>
      <c r="L77" s="11"/>
      <c r="M77" s="7"/>
      <c r="N77" s="11"/>
      <c r="O77" s="7"/>
      <c r="P77" s="7"/>
      <c r="Q77" s="9"/>
      <c r="R77" s="7"/>
      <c r="S77" s="11"/>
      <c r="T77" s="7"/>
      <c r="U77" s="11"/>
      <c r="V77" s="7"/>
      <c r="W77" s="11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2:38" x14ac:dyDescent="0.25">
      <c r="B78" s="7"/>
      <c r="C78" s="7"/>
      <c r="D78" s="11"/>
      <c r="E78" s="7"/>
      <c r="F78" s="11"/>
      <c r="G78" s="9"/>
      <c r="H78" s="11"/>
      <c r="I78" s="9"/>
      <c r="J78" s="11"/>
      <c r="K78" s="9"/>
      <c r="L78" s="11"/>
      <c r="M78" s="7"/>
      <c r="N78" s="11"/>
      <c r="O78" s="7"/>
      <c r="P78" s="7"/>
      <c r="Q78" s="11"/>
      <c r="R78" s="7"/>
      <c r="S78" s="11"/>
      <c r="T78" s="7"/>
      <c r="U78" s="11"/>
      <c r="V78" s="7"/>
      <c r="W78" s="11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2:38" x14ac:dyDescent="0.25">
      <c r="B79" s="7"/>
      <c r="C79" s="7"/>
      <c r="D79" s="11"/>
      <c r="E79" s="7"/>
      <c r="F79" s="11"/>
      <c r="G79" s="9"/>
      <c r="H79" s="11"/>
      <c r="I79" s="11"/>
      <c r="J79" s="11"/>
      <c r="K79" s="9"/>
      <c r="L79" s="11"/>
      <c r="M79" s="7"/>
      <c r="N79" s="11"/>
      <c r="O79" s="7"/>
      <c r="P79" s="7"/>
      <c r="Q79" s="11"/>
      <c r="R79" s="7"/>
      <c r="S79" s="11"/>
      <c r="T79" s="7"/>
      <c r="U79" s="11"/>
      <c r="V79" s="7"/>
      <c r="W79" s="11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2:38" x14ac:dyDescent="0.25">
      <c r="B80" s="7"/>
      <c r="C80" s="7"/>
      <c r="D80" s="11"/>
      <c r="E80" s="7"/>
      <c r="F80" s="11"/>
      <c r="G80" s="9"/>
      <c r="H80" s="11"/>
      <c r="I80" s="11"/>
      <c r="J80" s="11"/>
      <c r="K80" s="11"/>
      <c r="L80" s="11"/>
      <c r="M80" s="7"/>
      <c r="N80" s="11"/>
      <c r="O80" s="7"/>
      <c r="P80" s="7"/>
      <c r="Q80" s="11"/>
      <c r="R80" s="7"/>
      <c r="S80" s="11"/>
      <c r="T80" s="7"/>
      <c r="U80" s="11"/>
      <c r="V80" s="7"/>
      <c r="W80" s="11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2:38" x14ac:dyDescent="0.25">
      <c r="B81" s="7"/>
      <c r="C81" s="7"/>
      <c r="D81" s="11"/>
      <c r="E81" s="7"/>
      <c r="F81" s="9"/>
      <c r="G81" s="11"/>
      <c r="H81" s="11"/>
      <c r="I81" s="11"/>
      <c r="J81" s="9"/>
      <c r="K81" s="11"/>
      <c r="L81" s="9"/>
      <c r="M81" s="7"/>
      <c r="N81" s="9"/>
      <c r="O81" s="7"/>
      <c r="P81" s="7"/>
      <c r="Q81" s="11"/>
      <c r="R81" s="7"/>
      <c r="S81" s="9"/>
      <c r="T81" s="7"/>
      <c r="U81" s="9"/>
      <c r="V81" s="7"/>
      <c r="W81" s="9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2:38" x14ac:dyDescent="0.25">
      <c r="B82" s="7"/>
      <c r="C82" s="7"/>
      <c r="D82" s="9"/>
      <c r="E82" s="7"/>
      <c r="F82" s="9"/>
      <c r="G82" s="11"/>
      <c r="H82" s="9"/>
      <c r="I82" s="11"/>
      <c r="J82" s="9"/>
      <c r="K82" s="11"/>
      <c r="L82" s="9"/>
      <c r="M82" s="7"/>
      <c r="N82" s="9"/>
      <c r="O82" s="7"/>
      <c r="P82" s="7"/>
      <c r="Q82" s="9"/>
      <c r="R82" s="7"/>
      <c r="S82" s="9"/>
      <c r="T82" s="7"/>
      <c r="U82" s="9"/>
      <c r="V82" s="7"/>
      <c r="W82" s="9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2:38" x14ac:dyDescent="0.25">
      <c r="B83" s="7"/>
      <c r="C83" s="7"/>
      <c r="D83" s="9"/>
      <c r="E83" s="7"/>
      <c r="F83" s="9"/>
      <c r="G83" s="11"/>
      <c r="H83" s="9"/>
      <c r="I83" s="11"/>
      <c r="J83" s="9"/>
      <c r="K83" s="11"/>
      <c r="L83" s="9"/>
      <c r="M83" s="7"/>
      <c r="N83" s="9"/>
      <c r="O83" s="7"/>
      <c r="P83" s="7"/>
      <c r="Q83" s="9"/>
      <c r="R83" s="7"/>
      <c r="S83" s="9"/>
      <c r="T83" s="7"/>
      <c r="U83" s="9"/>
      <c r="V83" s="7"/>
      <c r="W83" s="9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2:38" x14ac:dyDescent="0.25">
      <c r="B84" s="7"/>
      <c r="C84" s="7"/>
      <c r="D84" s="9"/>
      <c r="E84" s="7"/>
      <c r="F84" s="9"/>
      <c r="G84" s="11"/>
      <c r="H84" s="11"/>
      <c r="I84" s="9"/>
      <c r="J84" s="9"/>
      <c r="K84" s="11"/>
      <c r="L84" s="9"/>
      <c r="M84" s="7"/>
      <c r="N84" s="9"/>
      <c r="O84" s="7"/>
      <c r="P84" s="7"/>
      <c r="Q84" s="9"/>
      <c r="R84" s="7"/>
      <c r="S84" s="9"/>
      <c r="T84" s="7"/>
      <c r="U84" s="9"/>
      <c r="V84" s="7"/>
      <c r="W84" s="9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2:38" x14ac:dyDescent="0.25">
      <c r="B85" s="7"/>
      <c r="C85" s="7"/>
      <c r="D85" s="9"/>
      <c r="E85" s="7"/>
      <c r="F85" s="9"/>
      <c r="G85" s="11"/>
      <c r="H85" s="9"/>
      <c r="I85" s="9"/>
      <c r="J85" s="9"/>
      <c r="K85" s="9"/>
      <c r="L85" s="9"/>
      <c r="M85" s="7"/>
      <c r="N85" s="9"/>
      <c r="O85" s="7"/>
      <c r="P85" s="7"/>
      <c r="Q85" s="9"/>
      <c r="R85" s="7"/>
      <c r="S85" s="9"/>
      <c r="T85" s="7"/>
      <c r="U85" s="9"/>
      <c r="V85" s="7"/>
      <c r="W85" s="9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2:38" x14ac:dyDescent="0.25">
      <c r="B86" s="7"/>
      <c r="C86" s="7"/>
      <c r="D86" s="9"/>
      <c r="E86" s="7"/>
      <c r="F86" s="11"/>
      <c r="G86" s="9"/>
      <c r="H86" s="11"/>
      <c r="I86" s="11"/>
      <c r="J86" s="11"/>
      <c r="K86" s="9"/>
      <c r="L86" s="11"/>
      <c r="M86" s="7"/>
      <c r="N86" s="11"/>
      <c r="O86" s="7"/>
      <c r="P86" s="7"/>
      <c r="Q86" s="9"/>
      <c r="R86" s="7"/>
      <c r="S86" s="11"/>
      <c r="T86" s="7"/>
      <c r="U86" s="11"/>
      <c r="V86" s="7"/>
      <c r="W86" s="11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2:38" x14ac:dyDescent="0.25">
      <c r="B87" s="7"/>
      <c r="C87" s="7"/>
      <c r="D87" s="11"/>
      <c r="E87" s="7"/>
      <c r="F87" s="9"/>
      <c r="G87" s="9"/>
      <c r="H87" s="9"/>
      <c r="I87" s="9"/>
      <c r="J87" s="9"/>
      <c r="K87" s="11"/>
      <c r="L87" s="9"/>
      <c r="M87" s="7"/>
      <c r="N87" s="9"/>
      <c r="O87" s="7"/>
      <c r="P87" s="7"/>
      <c r="Q87" s="11"/>
      <c r="R87" s="7"/>
      <c r="S87" s="9"/>
      <c r="T87" s="7"/>
      <c r="U87" s="9"/>
      <c r="V87" s="7"/>
      <c r="W87" s="9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2:38" x14ac:dyDescent="0.25">
      <c r="B88" s="7"/>
      <c r="C88" s="7"/>
      <c r="D88" s="9"/>
      <c r="E88" s="7"/>
      <c r="F88" s="11"/>
      <c r="G88" s="11"/>
      <c r="H88" s="11"/>
      <c r="I88" s="11"/>
      <c r="J88" s="11"/>
      <c r="K88" s="9"/>
      <c r="L88" s="11"/>
      <c r="M88" s="7"/>
      <c r="N88" s="11"/>
      <c r="O88" s="7"/>
      <c r="P88" s="7"/>
      <c r="Q88" s="9"/>
      <c r="R88" s="7"/>
      <c r="S88" s="11"/>
      <c r="T88" s="7"/>
      <c r="U88" s="11"/>
      <c r="V88" s="7"/>
      <c r="W88" s="11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2:38" x14ac:dyDescent="0.25">
      <c r="B89" s="7"/>
      <c r="C89" s="7"/>
      <c r="D89" s="11"/>
      <c r="E89" s="7"/>
      <c r="F89" s="11"/>
      <c r="G89" s="9"/>
      <c r="H89" s="11"/>
      <c r="I89" s="9"/>
      <c r="J89" s="11"/>
      <c r="K89" s="11"/>
      <c r="L89" s="11"/>
      <c r="M89" s="7"/>
      <c r="N89" s="11"/>
      <c r="O89" s="7"/>
      <c r="P89" s="7"/>
      <c r="Q89" s="11"/>
      <c r="R89" s="7"/>
      <c r="S89" s="11"/>
      <c r="T89" s="7"/>
      <c r="U89" s="11"/>
      <c r="V89" s="7"/>
      <c r="W89" s="11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2:38" x14ac:dyDescent="0.25">
      <c r="B90" s="7"/>
      <c r="C90" s="7"/>
      <c r="D90" s="11"/>
      <c r="E90" s="7"/>
      <c r="F90" s="7"/>
      <c r="G90" s="11"/>
      <c r="H90" s="11"/>
      <c r="I90" s="11"/>
      <c r="J90" s="11"/>
      <c r="K90" s="9"/>
      <c r="L90" s="7"/>
      <c r="M90" s="7"/>
      <c r="N90" s="7"/>
      <c r="O90" s="7"/>
      <c r="P90" s="7"/>
      <c r="Q90" s="11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2:38" x14ac:dyDescent="0.25">
      <c r="B91" s="7"/>
      <c r="C91" s="7"/>
      <c r="D91" s="7"/>
      <c r="E91" s="7"/>
      <c r="F91" s="7"/>
      <c r="G91" s="9"/>
      <c r="H91" s="11"/>
      <c r="I91" s="11"/>
      <c r="J91" s="11"/>
      <c r="K91" s="11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2:38" x14ac:dyDescent="0.25">
      <c r="B92" s="7"/>
      <c r="C92" s="7"/>
      <c r="D92" s="7"/>
      <c r="E92" s="7"/>
      <c r="F92" s="7"/>
      <c r="G92" s="11"/>
      <c r="H92" s="11"/>
      <c r="I92" s="9"/>
      <c r="J92" s="7"/>
      <c r="K92" s="11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2:38" x14ac:dyDescent="0.25">
      <c r="B93" s="7"/>
      <c r="C93" s="7"/>
      <c r="D93" s="7"/>
      <c r="E93" s="7"/>
      <c r="F93" s="7"/>
      <c r="G93" s="11"/>
      <c r="H93" s="9"/>
      <c r="I93" s="1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2:38" x14ac:dyDescent="0.25">
      <c r="B94" s="7"/>
      <c r="C94" s="7"/>
      <c r="D94" s="7"/>
      <c r="E94" s="7"/>
      <c r="F94" s="7"/>
      <c r="G94" s="7"/>
      <c r="H94" s="11"/>
      <c r="I94" s="1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spans="2:38" x14ac:dyDescent="0.25">
      <c r="B95" s="7"/>
      <c r="C95" s="7"/>
      <c r="D95" s="7"/>
      <c r="E95" s="7"/>
      <c r="F95" s="7"/>
      <c r="G95" s="7"/>
      <c r="H95" s="11"/>
      <c r="I95" s="1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2:38" x14ac:dyDescent="0.25">
      <c r="B96" s="7"/>
      <c r="C96" s="7"/>
      <c r="D96" s="7"/>
      <c r="E96" s="7"/>
      <c r="F96" s="7"/>
      <c r="G96" s="7"/>
      <c r="H96" s="9"/>
      <c r="I96" s="1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8:9" x14ac:dyDescent="0.25">
      <c r="H97" s="11"/>
      <c r="I97" s="11"/>
    </row>
    <row r="98" spans="8:9" x14ac:dyDescent="0.25">
      <c r="H98" s="11"/>
      <c r="I98" s="9"/>
    </row>
    <row r="99" spans="8:9" x14ac:dyDescent="0.25">
      <c r="H99" s="11"/>
      <c r="I99" s="9"/>
    </row>
    <row r="100" spans="8:9" x14ac:dyDescent="0.25">
      <c r="H100" s="11"/>
      <c r="I100" s="11"/>
    </row>
    <row r="101" spans="8:9" x14ac:dyDescent="0.25">
      <c r="H101" s="9"/>
      <c r="I101" s="11"/>
    </row>
    <row r="102" spans="8:9" x14ac:dyDescent="0.25">
      <c r="H102" s="11"/>
      <c r="I102" s="11"/>
    </row>
    <row r="103" spans="8:9" x14ac:dyDescent="0.25">
      <c r="H103" s="11"/>
      <c r="I103" s="9"/>
    </row>
    <row r="104" spans="8:9" x14ac:dyDescent="0.25">
      <c r="I104" s="11"/>
    </row>
    <row r="105" spans="8:9" x14ac:dyDescent="0.25">
      <c r="I10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D3CF-A8AA-483B-A9D2-6646B079036F}">
  <dimension ref="A1:K60"/>
  <sheetViews>
    <sheetView tabSelected="1" workbookViewId="0">
      <pane ySplit="1" topLeftCell="A36" activePane="bottomLeft" state="frozen"/>
      <selection pane="bottomLeft" activeCell="H63" sqref="H63"/>
    </sheetView>
  </sheetViews>
  <sheetFormatPr defaultRowHeight="15" x14ac:dyDescent="0.25"/>
  <cols>
    <col min="1" max="1" width="23.85546875" bestFit="1" customWidth="1"/>
    <col min="2" max="4" width="9.7109375" bestFit="1" customWidth="1"/>
    <col min="5" max="5" width="10.7109375" bestFit="1" customWidth="1"/>
    <col min="6" max="8" width="9.7109375" bestFit="1" customWidth="1"/>
    <col min="9" max="10" width="10.7109375" bestFit="1" customWidth="1"/>
  </cols>
  <sheetData>
    <row r="1" spans="1:11" x14ac:dyDescent="0.25">
      <c r="A1" t="s">
        <v>15</v>
      </c>
      <c r="B1" s="12">
        <v>44293</v>
      </c>
      <c r="C1" s="12">
        <v>44473</v>
      </c>
      <c r="D1" s="12">
        <v>44676</v>
      </c>
      <c r="E1" s="12">
        <v>44891</v>
      </c>
      <c r="F1" s="12">
        <v>45126</v>
      </c>
      <c r="G1" s="12">
        <v>45202</v>
      </c>
      <c r="H1" s="12">
        <v>45462</v>
      </c>
      <c r="I1" s="12">
        <v>45590</v>
      </c>
      <c r="J1" s="12">
        <v>45642</v>
      </c>
      <c r="K1" t="s">
        <v>20</v>
      </c>
    </row>
    <row r="2" spans="1:11" x14ac:dyDescent="0.25">
      <c r="B2" s="15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</row>
    <row r="3" spans="1:11" x14ac:dyDescent="0.25">
      <c r="B3" s="15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</row>
    <row r="4" spans="1:11" x14ac:dyDescent="0.25">
      <c r="B4" s="15">
        <v>5</v>
      </c>
      <c r="C4">
        <v>5</v>
      </c>
    </row>
    <row r="5" spans="1:11" x14ac:dyDescent="0.25">
      <c r="B5" s="1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</row>
    <row r="6" spans="1:11" x14ac:dyDescent="0.25">
      <c r="B6" s="15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I6">
        <v>7</v>
      </c>
      <c r="J6">
        <v>7</v>
      </c>
    </row>
    <row r="7" spans="1:11" x14ac:dyDescent="0.25">
      <c r="B7" s="15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I7">
        <v>8</v>
      </c>
      <c r="J7">
        <v>8</v>
      </c>
    </row>
    <row r="8" spans="1:11" x14ac:dyDescent="0.25">
      <c r="B8" s="15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9</v>
      </c>
      <c r="J8">
        <v>9</v>
      </c>
    </row>
    <row r="9" spans="1:11" x14ac:dyDescent="0.25">
      <c r="B9" s="15">
        <v>14</v>
      </c>
      <c r="C9">
        <v>14</v>
      </c>
      <c r="D9">
        <v>14</v>
      </c>
      <c r="E9">
        <v>14</v>
      </c>
      <c r="F9">
        <v>14</v>
      </c>
      <c r="G9">
        <v>14</v>
      </c>
      <c r="H9">
        <v>14</v>
      </c>
      <c r="I9">
        <v>14</v>
      </c>
      <c r="J9">
        <v>14</v>
      </c>
    </row>
    <row r="10" spans="1:11" x14ac:dyDescent="0.25">
      <c r="B10" s="15">
        <v>17</v>
      </c>
      <c r="C10">
        <v>17</v>
      </c>
      <c r="D10">
        <v>17</v>
      </c>
      <c r="E10">
        <v>17</v>
      </c>
      <c r="F10">
        <v>17</v>
      </c>
      <c r="G10">
        <v>17</v>
      </c>
      <c r="H10">
        <v>17</v>
      </c>
      <c r="I10">
        <v>17</v>
      </c>
      <c r="J10">
        <v>17</v>
      </c>
    </row>
    <row r="11" spans="1:11" x14ac:dyDescent="0.25">
      <c r="B11" s="15">
        <v>18</v>
      </c>
      <c r="C11">
        <v>18</v>
      </c>
      <c r="D11">
        <v>18</v>
      </c>
      <c r="E11">
        <v>18</v>
      </c>
      <c r="F11">
        <v>18</v>
      </c>
      <c r="G11">
        <v>18</v>
      </c>
      <c r="H11">
        <v>18</v>
      </c>
      <c r="I11">
        <v>18</v>
      </c>
      <c r="J11">
        <v>18</v>
      </c>
    </row>
    <row r="12" spans="1:11" x14ac:dyDescent="0.25">
      <c r="B12" s="15">
        <v>19</v>
      </c>
      <c r="C12">
        <v>19</v>
      </c>
      <c r="D12">
        <v>19</v>
      </c>
      <c r="E12">
        <v>19</v>
      </c>
      <c r="F12">
        <v>19</v>
      </c>
      <c r="G12">
        <v>19</v>
      </c>
      <c r="H12">
        <v>19</v>
      </c>
      <c r="I12">
        <v>19</v>
      </c>
      <c r="J12">
        <v>19</v>
      </c>
    </row>
    <row r="13" spans="1:11" x14ac:dyDescent="0.25">
      <c r="B13" s="15">
        <v>21</v>
      </c>
      <c r="C13">
        <v>21</v>
      </c>
    </row>
    <row r="14" spans="1:11" x14ac:dyDescent="0.25">
      <c r="B14" s="15">
        <v>22</v>
      </c>
      <c r="C14">
        <v>22</v>
      </c>
      <c r="D14">
        <v>22</v>
      </c>
      <c r="E14">
        <v>22</v>
      </c>
      <c r="F14">
        <v>22</v>
      </c>
      <c r="G14">
        <v>22</v>
      </c>
      <c r="H14">
        <v>22</v>
      </c>
      <c r="I14">
        <v>22</v>
      </c>
      <c r="J14">
        <v>22</v>
      </c>
    </row>
    <row r="15" spans="1:11" x14ac:dyDescent="0.25">
      <c r="B15" s="15">
        <v>23</v>
      </c>
      <c r="C15">
        <v>23</v>
      </c>
      <c r="D15">
        <v>23</v>
      </c>
      <c r="E15">
        <v>23</v>
      </c>
      <c r="F15">
        <v>23</v>
      </c>
      <c r="G15">
        <v>23</v>
      </c>
      <c r="H15">
        <v>23</v>
      </c>
      <c r="I15">
        <v>23</v>
      </c>
      <c r="J15">
        <v>23</v>
      </c>
    </row>
    <row r="16" spans="1:11" x14ac:dyDescent="0.25">
      <c r="B16" s="15">
        <v>25</v>
      </c>
      <c r="C16">
        <v>25</v>
      </c>
    </row>
    <row r="17" spans="2:10" x14ac:dyDescent="0.25">
      <c r="B17" s="15">
        <v>28</v>
      </c>
      <c r="C17">
        <v>28</v>
      </c>
      <c r="D17">
        <v>28</v>
      </c>
      <c r="E17">
        <v>28</v>
      </c>
      <c r="F17">
        <v>28</v>
      </c>
      <c r="G17">
        <v>28</v>
      </c>
      <c r="H17">
        <v>28</v>
      </c>
      <c r="I17">
        <v>28</v>
      </c>
      <c r="J17">
        <v>28</v>
      </c>
    </row>
    <row r="18" spans="2:10" x14ac:dyDescent="0.25">
      <c r="B18" s="15">
        <v>29</v>
      </c>
      <c r="C18">
        <v>29</v>
      </c>
      <c r="D18">
        <v>29</v>
      </c>
      <c r="E18">
        <v>29</v>
      </c>
      <c r="F18">
        <v>29</v>
      </c>
      <c r="G18">
        <v>29</v>
      </c>
      <c r="H18">
        <v>29</v>
      </c>
      <c r="I18">
        <v>29</v>
      </c>
      <c r="J18">
        <v>29</v>
      </c>
    </row>
    <row r="19" spans="2:10" x14ac:dyDescent="0.25">
      <c r="B19" s="15">
        <v>34</v>
      </c>
      <c r="C19">
        <v>34</v>
      </c>
      <c r="D19">
        <v>34</v>
      </c>
      <c r="E19">
        <v>34</v>
      </c>
      <c r="F19">
        <v>34</v>
      </c>
      <c r="G19">
        <v>34</v>
      </c>
      <c r="H19">
        <v>34</v>
      </c>
      <c r="I19">
        <v>34</v>
      </c>
      <c r="J19">
        <v>34</v>
      </c>
    </row>
    <row r="20" spans="2:10" x14ac:dyDescent="0.25">
      <c r="B20" s="15">
        <v>41</v>
      </c>
      <c r="C20">
        <v>41</v>
      </c>
      <c r="D20">
        <v>41</v>
      </c>
      <c r="E20">
        <v>41</v>
      </c>
      <c r="F20">
        <v>41</v>
      </c>
      <c r="G20">
        <v>41</v>
      </c>
      <c r="H20">
        <v>41</v>
      </c>
      <c r="I20">
        <v>41</v>
      </c>
      <c r="J20">
        <v>41</v>
      </c>
    </row>
    <row r="21" spans="2:10" x14ac:dyDescent="0.25">
      <c r="B21" s="15">
        <v>42</v>
      </c>
      <c r="C21">
        <v>42</v>
      </c>
      <c r="D21">
        <v>42</v>
      </c>
      <c r="E21">
        <v>42</v>
      </c>
      <c r="F21">
        <v>42</v>
      </c>
      <c r="G21">
        <v>42</v>
      </c>
      <c r="H21">
        <v>42</v>
      </c>
      <c r="I21">
        <v>42</v>
      </c>
      <c r="J21">
        <v>42</v>
      </c>
    </row>
    <row r="22" spans="2:10" x14ac:dyDescent="0.25">
      <c r="B22" s="15">
        <v>50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  <c r="I22">
        <v>50</v>
      </c>
      <c r="J22">
        <v>50</v>
      </c>
    </row>
    <row r="23" spans="2:10" x14ac:dyDescent="0.25">
      <c r="B23" s="15">
        <v>52</v>
      </c>
      <c r="C23">
        <v>52</v>
      </c>
      <c r="D23">
        <v>52</v>
      </c>
      <c r="E23">
        <v>52</v>
      </c>
      <c r="F23">
        <v>52</v>
      </c>
      <c r="G23">
        <v>52</v>
      </c>
      <c r="H23">
        <v>52</v>
      </c>
      <c r="I23">
        <v>52</v>
      </c>
      <c r="J23">
        <v>52</v>
      </c>
    </row>
    <row r="24" spans="2:10" x14ac:dyDescent="0.25">
      <c r="B24" s="15">
        <v>55</v>
      </c>
      <c r="C24">
        <v>55</v>
      </c>
      <c r="D24">
        <v>55</v>
      </c>
      <c r="E24">
        <v>55</v>
      </c>
      <c r="F24">
        <v>55</v>
      </c>
      <c r="G24">
        <v>55</v>
      </c>
      <c r="H24">
        <v>55</v>
      </c>
      <c r="I24">
        <v>55</v>
      </c>
      <c r="J24">
        <v>55</v>
      </c>
    </row>
    <row r="25" spans="2:10" x14ac:dyDescent="0.25">
      <c r="B25" s="15">
        <v>56</v>
      </c>
      <c r="C25">
        <v>56</v>
      </c>
      <c r="D25">
        <v>56</v>
      </c>
      <c r="E25">
        <v>56</v>
      </c>
      <c r="F25">
        <v>56</v>
      </c>
      <c r="G25">
        <v>56</v>
      </c>
      <c r="H25">
        <v>56</v>
      </c>
      <c r="I25">
        <v>56</v>
      </c>
      <c r="J25">
        <v>56</v>
      </c>
    </row>
    <row r="26" spans="2:10" x14ac:dyDescent="0.25">
      <c r="B26" s="15"/>
      <c r="C26">
        <v>64</v>
      </c>
      <c r="D26">
        <v>64</v>
      </c>
      <c r="E26">
        <v>64</v>
      </c>
      <c r="F26">
        <v>64</v>
      </c>
      <c r="G26">
        <v>64</v>
      </c>
      <c r="H26">
        <v>64</v>
      </c>
      <c r="I26">
        <v>64</v>
      </c>
      <c r="J26">
        <v>64</v>
      </c>
    </row>
    <row r="27" spans="2:10" x14ac:dyDescent="0.25">
      <c r="B27" s="15"/>
      <c r="G27">
        <v>70</v>
      </c>
      <c r="H27">
        <v>70</v>
      </c>
      <c r="I27">
        <v>70</v>
      </c>
      <c r="J27">
        <v>70</v>
      </c>
    </row>
    <row r="28" spans="2:10" x14ac:dyDescent="0.25">
      <c r="B28" s="15"/>
      <c r="H28">
        <v>71</v>
      </c>
      <c r="I28">
        <v>71</v>
      </c>
      <c r="J28">
        <v>71</v>
      </c>
    </row>
    <row r="29" spans="2:10" x14ac:dyDescent="0.25">
      <c r="B29" s="15">
        <v>72</v>
      </c>
    </row>
    <row r="30" spans="2:10" x14ac:dyDescent="0.25">
      <c r="B30" s="15"/>
      <c r="D30">
        <v>75</v>
      </c>
      <c r="E30">
        <v>75</v>
      </c>
      <c r="F30">
        <v>75</v>
      </c>
      <c r="G30">
        <v>75</v>
      </c>
      <c r="H30">
        <v>75</v>
      </c>
      <c r="I30">
        <v>75</v>
      </c>
      <c r="J30">
        <v>75</v>
      </c>
    </row>
    <row r="31" spans="2:10" x14ac:dyDescent="0.25">
      <c r="B31" s="15">
        <v>76</v>
      </c>
      <c r="C31">
        <v>76</v>
      </c>
      <c r="D31">
        <v>76</v>
      </c>
      <c r="E31">
        <v>76</v>
      </c>
      <c r="F31">
        <v>76</v>
      </c>
      <c r="G31">
        <v>76</v>
      </c>
      <c r="H31">
        <v>76</v>
      </c>
      <c r="I31">
        <v>76</v>
      </c>
      <c r="J31">
        <v>76</v>
      </c>
    </row>
    <row r="32" spans="2:10" x14ac:dyDescent="0.25">
      <c r="B32" s="15">
        <v>77</v>
      </c>
      <c r="C32">
        <v>77</v>
      </c>
      <c r="D32">
        <v>77</v>
      </c>
      <c r="E32">
        <v>77</v>
      </c>
      <c r="F32">
        <v>77</v>
      </c>
      <c r="G32">
        <v>77</v>
      </c>
      <c r="H32">
        <v>77</v>
      </c>
      <c r="I32">
        <v>77</v>
      </c>
      <c r="J32">
        <v>77</v>
      </c>
    </row>
    <row r="33" spans="1:11" x14ac:dyDescent="0.25">
      <c r="B33" s="15"/>
      <c r="D33">
        <v>79</v>
      </c>
      <c r="E33">
        <v>79</v>
      </c>
      <c r="F33">
        <v>79</v>
      </c>
      <c r="G33">
        <v>79</v>
      </c>
      <c r="H33">
        <v>79</v>
      </c>
      <c r="I33">
        <v>79</v>
      </c>
      <c r="J33">
        <v>79</v>
      </c>
    </row>
    <row r="34" spans="1:11" x14ac:dyDescent="0.25">
      <c r="B34" s="15">
        <v>84</v>
      </c>
      <c r="C34">
        <v>84</v>
      </c>
      <c r="D34">
        <v>84</v>
      </c>
      <c r="E34">
        <v>84</v>
      </c>
      <c r="F34">
        <v>84</v>
      </c>
      <c r="G34">
        <v>84</v>
      </c>
      <c r="H34">
        <v>84</v>
      </c>
      <c r="I34">
        <v>84</v>
      </c>
      <c r="J34">
        <v>84</v>
      </c>
    </row>
    <row r="35" spans="1:11" x14ac:dyDescent="0.25">
      <c r="B35" s="15">
        <v>86</v>
      </c>
      <c r="C35">
        <v>86</v>
      </c>
      <c r="D35">
        <v>86</v>
      </c>
      <c r="E35">
        <v>86</v>
      </c>
      <c r="F35">
        <v>86</v>
      </c>
      <c r="G35">
        <v>86</v>
      </c>
      <c r="H35">
        <v>86</v>
      </c>
      <c r="I35">
        <v>86</v>
      </c>
      <c r="J35">
        <v>86</v>
      </c>
    </row>
    <row r="36" spans="1:11" x14ac:dyDescent="0.25">
      <c r="A36" s="13"/>
      <c r="B36" s="14">
        <v>87</v>
      </c>
      <c r="C36">
        <v>87</v>
      </c>
      <c r="D36">
        <v>87</v>
      </c>
      <c r="E36">
        <v>87</v>
      </c>
      <c r="F36">
        <v>87</v>
      </c>
      <c r="G36">
        <v>87</v>
      </c>
      <c r="H36">
        <v>87</v>
      </c>
      <c r="I36">
        <v>87</v>
      </c>
      <c r="J36">
        <v>87</v>
      </c>
    </row>
    <row r="37" spans="1:11" x14ac:dyDescent="0.25">
      <c r="A37" s="13"/>
      <c r="B37" s="14">
        <v>88</v>
      </c>
      <c r="C37">
        <v>88</v>
      </c>
      <c r="D37">
        <v>88</v>
      </c>
      <c r="E37">
        <v>88</v>
      </c>
      <c r="F37">
        <v>88</v>
      </c>
      <c r="G37">
        <v>88</v>
      </c>
      <c r="H37">
        <v>88</v>
      </c>
      <c r="I37">
        <v>88</v>
      </c>
      <c r="J37">
        <v>88</v>
      </c>
    </row>
    <row r="38" spans="1:11" x14ac:dyDescent="0.25">
      <c r="A38" s="13"/>
      <c r="B38" s="14">
        <v>89</v>
      </c>
      <c r="C38">
        <v>89</v>
      </c>
      <c r="D38">
        <v>89</v>
      </c>
      <c r="E38">
        <v>89</v>
      </c>
      <c r="F38">
        <v>89</v>
      </c>
      <c r="G38">
        <v>89</v>
      </c>
      <c r="H38">
        <v>89</v>
      </c>
      <c r="I38">
        <v>89</v>
      </c>
      <c r="J38">
        <v>89</v>
      </c>
    </row>
    <row r="39" spans="1:11" x14ac:dyDescent="0.25">
      <c r="A39" s="13"/>
      <c r="B39" s="14">
        <v>90</v>
      </c>
      <c r="C39">
        <v>90</v>
      </c>
      <c r="D39">
        <v>90</v>
      </c>
      <c r="E39">
        <v>90</v>
      </c>
      <c r="F39">
        <v>90</v>
      </c>
      <c r="G39">
        <v>90</v>
      </c>
      <c r="H39">
        <v>90</v>
      </c>
      <c r="I39">
        <v>90</v>
      </c>
      <c r="J39">
        <v>90</v>
      </c>
    </row>
    <row r="40" spans="1:11" x14ac:dyDescent="0.25">
      <c r="A40" s="13"/>
      <c r="B40" s="14">
        <v>91</v>
      </c>
    </row>
    <row r="41" spans="1:11" x14ac:dyDescent="0.25">
      <c r="A41" s="13"/>
      <c r="B41" s="14">
        <v>92</v>
      </c>
    </row>
    <row r="42" spans="1:11" x14ac:dyDescent="0.25">
      <c r="B42" s="15">
        <v>93</v>
      </c>
      <c r="C42">
        <v>93</v>
      </c>
      <c r="D42">
        <v>93</v>
      </c>
      <c r="E42">
        <v>93</v>
      </c>
      <c r="F42">
        <v>93</v>
      </c>
      <c r="G42">
        <v>93</v>
      </c>
      <c r="H42">
        <v>93</v>
      </c>
      <c r="I42">
        <v>93</v>
      </c>
      <c r="J42">
        <v>93</v>
      </c>
    </row>
    <row r="43" spans="1:11" x14ac:dyDescent="0.25">
      <c r="A43" s="13"/>
      <c r="B43" s="14">
        <v>94</v>
      </c>
      <c r="C43">
        <v>94</v>
      </c>
      <c r="D43">
        <v>94</v>
      </c>
      <c r="E43">
        <v>94</v>
      </c>
      <c r="F43">
        <v>94</v>
      </c>
      <c r="G43">
        <v>94</v>
      </c>
      <c r="H43">
        <v>94</v>
      </c>
      <c r="I43">
        <v>94</v>
      </c>
      <c r="J43">
        <v>94</v>
      </c>
    </row>
    <row r="44" spans="1:11" x14ac:dyDescent="0.25">
      <c r="A44" s="13"/>
      <c r="B44" s="14">
        <v>95</v>
      </c>
      <c r="C44">
        <v>95</v>
      </c>
      <c r="D44">
        <v>95</v>
      </c>
      <c r="E44">
        <v>95</v>
      </c>
      <c r="F44">
        <v>95</v>
      </c>
      <c r="G44">
        <v>95</v>
      </c>
      <c r="H44">
        <v>95</v>
      </c>
      <c r="I44">
        <v>95</v>
      </c>
      <c r="J44">
        <v>95</v>
      </c>
    </row>
    <row r="45" spans="1:11" x14ac:dyDescent="0.25">
      <c r="B45" s="15">
        <v>96</v>
      </c>
    </row>
    <row r="46" spans="1:11" x14ac:dyDescent="0.25">
      <c r="A46" t="s">
        <v>3</v>
      </c>
    </row>
    <row r="48" spans="1:11" s="2" customFormat="1" x14ac:dyDescent="0.25">
      <c r="A48" s="21" t="s">
        <v>15</v>
      </c>
      <c r="B48" s="22">
        <v>44293</v>
      </c>
      <c r="C48" s="22">
        <v>44473</v>
      </c>
      <c r="D48" s="22">
        <v>44676</v>
      </c>
      <c r="E48" s="22">
        <v>44891</v>
      </c>
      <c r="F48" s="22">
        <v>45126</v>
      </c>
      <c r="G48" s="22">
        <v>45202</v>
      </c>
      <c r="H48" s="22">
        <v>45462</v>
      </c>
      <c r="I48" s="22">
        <v>45590</v>
      </c>
      <c r="J48" s="22">
        <v>45642</v>
      </c>
      <c r="K48" s="21" t="s">
        <v>20</v>
      </c>
    </row>
    <row r="49" spans="1:11" x14ac:dyDescent="0.25">
      <c r="A49" s="23" t="s">
        <v>16</v>
      </c>
      <c r="B49" s="24">
        <v>44087</v>
      </c>
      <c r="C49" s="24">
        <v>44472</v>
      </c>
      <c r="D49" s="24">
        <v>44654</v>
      </c>
      <c r="E49" s="24">
        <v>44654</v>
      </c>
      <c r="F49" s="24">
        <v>45018</v>
      </c>
      <c r="G49" s="24">
        <v>45200</v>
      </c>
      <c r="H49" s="24">
        <v>45382</v>
      </c>
      <c r="I49" s="24">
        <v>45571</v>
      </c>
      <c r="J49" s="24">
        <v>45571</v>
      </c>
      <c r="K49" s="24">
        <v>45844</v>
      </c>
    </row>
    <row r="50" spans="1:11" x14ac:dyDescent="0.25">
      <c r="A50" s="23" t="s">
        <v>18</v>
      </c>
      <c r="B50" s="23"/>
      <c r="C50" s="23"/>
      <c r="D50" s="23"/>
      <c r="E50" s="24">
        <v>44835</v>
      </c>
      <c r="F50" s="23"/>
      <c r="G50" s="23"/>
      <c r="H50" s="23"/>
      <c r="I50" s="23"/>
      <c r="J50" s="24">
        <v>45661</v>
      </c>
      <c r="K50" s="23"/>
    </row>
    <row r="51" spans="1:11" x14ac:dyDescent="0.25">
      <c r="A51" s="23" t="s">
        <v>19</v>
      </c>
      <c r="B51" s="23"/>
      <c r="C51" s="23"/>
      <c r="D51" s="23"/>
      <c r="E51" s="24">
        <v>44836</v>
      </c>
      <c r="F51" s="23"/>
      <c r="G51" s="23"/>
      <c r="H51" s="23"/>
      <c r="I51" s="23"/>
      <c r="J51" s="24">
        <v>45662</v>
      </c>
      <c r="K51" s="23"/>
    </row>
    <row r="52" spans="1:11" x14ac:dyDescent="0.25">
      <c r="A52" s="23" t="s">
        <v>17</v>
      </c>
      <c r="B52" s="24">
        <v>44471</v>
      </c>
      <c r="C52" s="24">
        <v>44653</v>
      </c>
      <c r="D52" s="24">
        <v>44835</v>
      </c>
      <c r="E52" s="24">
        <v>45017</v>
      </c>
      <c r="F52" s="24">
        <v>45199</v>
      </c>
      <c r="G52" s="24">
        <v>45381</v>
      </c>
      <c r="H52" s="24">
        <v>45570</v>
      </c>
      <c r="I52" s="24">
        <v>45752</v>
      </c>
      <c r="J52" s="24">
        <v>45843</v>
      </c>
      <c r="K52" s="24">
        <v>46025</v>
      </c>
    </row>
    <row r="54" spans="1:11" x14ac:dyDescent="0.25">
      <c r="A54" s="21" t="s">
        <v>21</v>
      </c>
    </row>
    <row r="55" spans="1:11" x14ac:dyDescent="0.25">
      <c r="A55" s="23" t="s">
        <v>16</v>
      </c>
      <c r="B55" s="24">
        <v>44087</v>
      </c>
      <c r="C55" s="24">
        <v>44472</v>
      </c>
      <c r="D55" s="24">
        <v>44654</v>
      </c>
      <c r="E55" s="24">
        <v>44836</v>
      </c>
      <c r="F55" s="24">
        <v>45018</v>
      </c>
      <c r="G55" s="24">
        <v>45200</v>
      </c>
      <c r="H55" s="24">
        <v>45382</v>
      </c>
      <c r="I55" s="24">
        <v>45571</v>
      </c>
      <c r="J55" s="24">
        <v>45662</v>
      </c>
      <c r="K55" s="24">
        <v>45844</v>
      </c>
    </row>
    <row r="56" spans="1:11" x14ac:dyDescent="0.25">
      <c r="A56" s="23" t="s">
        <v>17</v>
      </c>
      <c r="B56" s="24">
        <v>44471</v>
      </c>
      <c r="C56" s="24">
        <v>44653</v>
      </c>
      <c r="D56" s="24">
        <v>44835</v>
      </c>
      <c r="E56" s="24">
        <v>45017</v>
      </c>
      <c r="F56" s="24">
        <v>45199</v>
      </c>
      <c r="G56" s="24">
        <v>45381</v>
      </c>
      <c r="H56" s="24">
        <v>45570</v>
      </c>
      <c r="I56" s="24">
        <v>45661</v>
      </c>
      <c r="J56" s="24">
        <v>45843</v>
      </c>
      <c r="K56" s="24">
        <v>46025</v>
      </c>
    </row>
    <row r="58" spans="1:11" x14ac:dyDescent="0.25">
      <c r="A58" s="21" t="s">
        <v>22</v>
      </c>
    </row>
    <row r="59" spans="1:11" x14ac:dyDescent="0.25">
      <c r="A59" s="23" t="s">
        <v>23</v>
      </c>
      <c r="B59" s="25">
        <v>44075</v>
      </c>
      <c r="C59" s="25">
        <v>44470</v>
      </c>
      <c r="D59" s="25">
        <v>44652</v>
      </c>
      <c r="E59" s="25">
        <v>44835</v>
      </c>
      <c r="F59" s="25">
        <v>45017</v>
      </c>
      <c r="G59" s="25">
        <v>45200</v>
      </c>
      <c r="H59" s="25">
        <v>45383</v>
      </c>
      <c r="I59" s="25">
        <v>45566</v>
      </c>
      <c r="J59" s="25">
        <v>45658</v>
      </c>
      <c r="K59" s="25">
        <v>45839</v>
      </c>
    </row>
    <row r="60" spans="1:11" x14ac:dyDescent="0.25">
      <c r="A60" s="23" t="s">
        <v>24</v>
      </c>
      <c r="B60" s="25">
        <v>44440</v>
      </c>
      <c r="C60" s="25">
        <v>44621</v>
      </c>
      <c r="D60" s="25">
        <v>44805</v>
      </c>
      <c r="E60" s="25">
        <v>44986</v>
      </c>
      <c r="F60" s="25">
        <v>45170</v>
      </c>
      <c r="G60" s="25">
        <v>45352</v>
      </c>
      <c r="H60" s="25">
        <v>45536</v>
      </c>
      <c r="I60" s="25">
        <v>45627</v>
      </c>
      <c r="J60" s="25">
        <v>45809</v>
      </c>
      <c r="K60" s="25">
        <v>46023</v>
      </c>
    </row>
  </sheetData>
  <sortState xmlns:xlrd2="http://schemas.microsoft.com/office/spreadsheetml/2017/richdata2" ref="J2:J38">
    <sortCondition ref="J2:J38"/>
  </sortState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D802-1F76-4990-9B61-B6D6D629876A}">
  <dimension ref="A1:J46"/>
  <sheetViews>
    <sheetView workbookViewId="0">
      <selection activeCell="I46" sqref="A1:I46"/>
    </sheetView>
  </sheetViews>
  <sheetFormatPr defaultRowHeight="15" x14ac:dyDescent="0.25"/>
  <cols>
    <col min="1" max="1" width="11.5703125" customWidth="1"/>
    <col min="3" max="3" width="9.28515625" customWidth="1"/>
    <col min="4" max="4" width="9.7109375" bestFit="1" customWidth="1"/>
    <col min="5" max="5" width="10.7109375" bestFit="1" customWidth="1"/>
    <col min="6" max="8" width="9.7109375" bestFit="1" customWidth="1"/>
    <col min="9" max="10" width="10.7109375" bestFit="1" customWidth="1"/>
  </cols>
  <sheetData>
    <row r="1" spans="2:10" ht="31.5" customHeight="1" x14ac:dyDescent="0.25">
      <c r="C1" s="19" t="s">
        <v>4</v>
      </c>
      <c r="D1" s="19" t="s">
        <v>14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12"/>
    </row>
    <row r="2" spans="2:10" x14ac:dyDescent="0.25">
      <c r="B2">
        <v>3</v>
      </c>
      <c r="C2" s="16"/>
      <c r="D2" s="16"/>
      <c r="E2" s="16"/>
      <c r="F2" s="16"/>
      <c r="G2" s="16"/>
      <c r="H2" s="16"/>
      <c r="I2" s="16"/>
    </row>
    <row r="3" spans="2:10" x14ac:dyDescent="0.25">
      <c r="B3">
        <v>4</v>
      </c>
      <c r="C3" s="16"/>
      <c r="D3" s="17"/>
      <c r="E3" s="16"/>
      <c r="F3" s="16"/>
      <c r="G3" s="16"/>
      <c r="H3" s="16"/>
      <c r="I3" s="16"/>
    </row>
    <row r="4" spans="2:10" x14ac:dyDescent="0.25">
      <c r="B4">
        <v>5</v>
      </c>
      <c r="C4" s="16"/>
      <c r="D4" s="16"/>
      <c r="E4" s="16"/>
      <c r="F4" s="16"/>
      <c r="G4" s="16"/>
      <c r="H4" s="16"/>
      <c r="I4" s="16"/>
    </row>
    <row r="5" spans="2:10" x14ac:dyDescent="0.25">
      <c r="B5">
        <v>6</v>
      </c>
      <c r="C5" s="16"/>
      <c r="D5" s="17"/>
      <c r="E5" s="16"/>
      <c r="F5" s="16"/>
      <c r="G5" s="17"/>
      <c r="H5" s="16"/>
      <c r="I5" s="17"/>
    </row>
    <row r="6" spans="2:10" x14ac:dyDescent="0.25">
      <c r="B6">
        <v>7</v>
      </c>
      <c r="C6" s="16"/>
      <c r="D6" s="16"/>
      <c r="E6" s="16"/>
      <c r="F6" s="16"/>
      <c r="G6" s="16"/>
      <c r="H6" s="16"/>
      <c r="I6" s="16"/>
    </row>
    <row r="7" spans="2:10" x14ac:dyDescent="0.25">
      <c r="B7">
        <v>8</v>
      </c>
      <c r="C7" s="16"/>
      <c r="D7" s="17"/>
      <c r="E7" s="16"/>
      <c r="F7" s="16"/>
      <c r="G7" s="16"/>
      <c r="H7" s="16"/>
      <c r="I7" s="16"/>
    </row>
    <row r="8" spans="2:10" x14ac:dyDescent="0.25">
      <c r="B8">
        <v>9</v>
      </c>
      <c r="C8" s="16"/>
      <c r="D8" s="17"/>
      <c r="E8" s="16"/>
      <c r="F8" s="16"/>
      <c r="G8" s="18"/>
      <c r="H8" s="16"/>
      <c r="I8" s="18"/>
    </row>
    <row r="9" spans="2:10" x14ac:dyDescent="0.25">
      <c r="B9">
        <v>14</v>
      </c>
      <c r="C9" s="16"/>
      <c r="D9" s="16"/>
      <c r="E9" s="16"/>
      <c r="F9" s="16"/>
      <c r="G9" s="16"/>
      <c r="H9" s="16"/>
      <c r="I9" s="16"/>
    </row>
    <row r="10" spans="2:10" x14ac:dyDescent="0.25">
      <c r="B10">
        <v>17</v>
      </c>
      <c r="C10" s="16"/>
      <c r="D10" s="16"/>
      <c r="E10" s="16"/>
      <c r="F10" s="16"/>
      <c r="G10" s="16"/>
      <c r="H10" s="16"/>
      <c r="I10" s="16"/>
    </row>
    <row r="11" spans="2:10" x14ac:dyDescent="0.25">
      <c r="B11">
        <v>18</v>
      </c>
      <c r="C11" s="16"/>
      <c r="D11" s="16"/>
      <c r="E11" s="16"/>
      <c r="F11" s="16"/>
      <c r="G11" s="16"/>
      <c r="H11" s="16"/>
      <c r="I11" s="16"/>
    </row>
    <row r="12" spans="2:10" x14ac:dyDescent="0.25">
      <c r="B12">
        <v>19</v>
      </c>
      <c r="C12" s="16"/>
      <c r="D12" s="17"/>
      <c r="E12" s="16"/>
      <c r="F12" s="16"/>
      <c r="G12" s="16"/>
      <c r="H12" s="16"/>
      <c r="I12" s="16"/>
    </row>
    <row r="13" spans="2:10" x14ac:dyDescent="0.25">
      <c r="B13">
        <v>21</v>
      </c>
      <c r="C13" s="16"/>
      <c r="D13" s="16"/>
      <c r="E13" s="16"/>
      <c r="F13" s="16"/>
      <c r="G13" s="17"/>
      <c r="H13" s="16"/>
      <c r="I13" s="17"/>
    </row>
    <row r="14" spans="2:10" x14ac:dyDescent="0.25">
      <c r="B14">
        <v>22</v>
      </c>
      <c r="C14" s="16"/>
      <c r="D14" s="16"/>
      <c r="E14" s="16"/>
      <c r="F14" s="16"/>
      <c r="G14" s="16"/>
      <c r="H14" s="16"/>
      <c r="I14" s="16"/>
    </row>
    <row r="15" spans="2:10" x14ac:dyDescent="0.25">
      <c r="B15">
        <v>23</v>
      </c>
      <c r="C15" s="16"/>
      <c r="D15" s="17"/>
      <c r="E15" s="16"/>
      <c r="F15" s="16"/>
      <c r="G15" s="16"/>
      <c r="H15" s="16"/>
      <c r="I15" s="16"/>
    </row>
    <row r="16" spans="2:10" x14ac:dyDescent="0.25">
      <c r="B16">
        <v>25</v>
      </c>
      <c r="C16" s="16"/>
      <c r="D16" s="17"/>
      <c r="E16" s="16"/>
      <c r="F16" s="16"/>
      <c r="G16" s="17"/>
      <c r="H16" s="16"/>
      <c r="I16" s="17"/>
    </row>
    <row r="17" spans="1:9" x14ac:dyDescent="0.25">
      <c r="B17">
        <v>28</v>
      </c>
      <c r="C17" s="16"/>
      <c r="D17" s="16"/>
      <c r="E17" s="16"/>
      <c r="F17" s="16"/>
      <c r="G17" s="16"/>
      <c r="H17" s="16"/>
      <c r="I17" s="16"/>
    </row>
    <row r="18" spans="1:9" x14ac:dyDescent="0.25">
      <c r="B18">
        <v>29</v>
      </c>
      <c r="C18" s="16"/>
      <c r="D18" s="16"/>
      <c r="E18" s="16"/>
      <c r="F18" s="16"/>
      <c r="G18" s="16"/>
      <c r="H18" s="16"/>
      <c r="I18" s="16"/>
    </row>
    <row r="19" spans="1:9" x14ac:dyDescent="0.25">
      <c r="B19">
        <v>34</v>
      </c>
      <c r="C19" s="16"/>
      <c r="D19" s="16"/>
      <c r="E19" s="16"/>
      <c r="F19" s="16"/>
      <c r="G19" s="16"/>
      <c r="H19" s="16"/>
      <c r="I19" s="16"/>
    </row>
    <row r="20" spans="1:9" x14ac:dyDescent="0.25">
      <c r="A20" t="s">
        <v>13</v>
      </c>
      <c r="B20">
        <v>41</v>
      </c>
      <c r="C20" s="17">
        <v>3</v>
      </c>
      <c r="D20" s="18"/>
      <c r="E20" s="17">
        <v>3</v>
      </c>
      <c r="F20" s="17">
        <v>3</v>
      </c>
      <c r="G20" s="18"/>
      <c r="H20" s="17">
        <v>3</v>
      </c>
      <c r="I20" s="18"/>
    </row>
    <row r="21" spans="1:9" x14ac:dyDescent="0.25">
      <c r="B21">
        <v>42</v>
      </c>
      <c r="C21" s="16"/>
      <c r="D21" s="16"/>
      <c r="E21" s="16"/>
      <c r="F21" s="16"/>
      <c r="G21" s="16"/>
      <c r="H21" s="16"/>
      <c r="I21" s="16"/>
    </row>
    <row r="22" spans="1:9" x14ac:dyDescent="0.25">
      <c r="B22">
        <v>50</v>
      </c>
      <c r="C22" s="16"/>
      <c r="D22" s="16"/>
      <c r="E22" s="16"/>
      <c r="F22" s="16"/>
      <c r="G22" s="16"/>
      <c r="H22" s="16"/>
      <c r="I22" s="16"/>
    </row>
    <row r="23" spans="1:9" x14ac:dyDescent="0.25">
      <c r="B23">
        <v>52</v>
      </c>
      <c r="C23" s="16"/>
      <c r="D23" s="16"/>
      <c r="E23" s="16"/>
      <c r="F23" s="16"/>
      <c r="G23" s="16"/>
      <c r="H23" s="16"/>
      <c r="I23" s="16"/>
    </row>
    <row r="24" spans="1:9" x14ac:dyDescent="0.25">
      <c r="B24">
        <v>55</v>
      </c>
      <c r="C24" s="16"/>
      <c r="D24" s="16"/>
      <c r="E24" s="16"/>
      <c r="F24" s="16"/>
      <c r="G24" s="16"/>
      <c r="H24" s="16"/>
      <c r="I24" s="16"/>
    </row>
    <row r="25" spans="1:9" x14ac:dyDescent="0.25">
      <c r="B25">
        <v>56</v>
      </c>
      <c r="C25" s="16"/>
      <c r="D25" s="17"/>
      <c r="E25" s="16"/>
      <c r="F25" s="16"/>
      <c r="G25" s="16"/>
      <c r="H25" s="16"/>
      <c r="I25" s="16"/>
    </row>
    <row r="26" spans="1:9" x14ac:dyDescent="0.25">
      <c r="B26">
        <v>64</v>
      </c>
      <c r="C26" s="16"/>
      <c r="D26" s="17"/>
      <c r="E26" s="16"/>
      <c r="F26" s="17">
        <v>3</v>
      </c>
      <c r="G26" s="18"/>
      <c r="H26" s="17">
        <v>2</v>
      </c>
      <c r="I26" s="18"/>
    </row>
    <row r="27" spans="1:9" x14ac:dyDescent="0.25">
      <c r="B27">
        <v>70</v>
      </c>
      <c r="C27" s="16"/>
      <c r="D27" s="18"/>
      <c r="E27" s="16"/>
      <c r="F27" s="17">
        <v>4</v>
      </c>
      <c r="G27" s="17"/>
      <c r="H27" s="17">
        <v>4</v>
      </c>
      <c r="I27" s="18"/>
    </row>
    <row r="28" spans="1:9" x14ac:dyDescent="0.25">
      <c r="B28">
        <v>71</v>
      </c>
      <c r="C28" s="16"/>
      <c r="D28" s="16"/>
      <c r="E28" s="16"/>
      <c r="F28" s="17">
        <v>6</v>
      </c>
      <c r="G28" s="17"/>
      <c r="H28" s="17">
        <v>6</v>
      </c>
      <c r="I28" s="17"/>
    </row>
    <row r="29" spans="1:9" x14ac:dyDescent="0.25">
      <c r="B29">
        <v>72</v>
      </c>
      <c r="C29" s="16"/>
      <c r="D29" s="17"/>
      <c r="E29" s="16" t="s">
        <v>12</v>
      </c>
      <c r="F29" s="16"/>
      <c r="G29" s="16"/>
      <c r="H29" s="16"/>
      <c r="I29" s="17"/>
    </row>
    <row r="30" spans="1:9" x14ac:dyDescent="0.25">
      <c r="B30">
        <v>75</v>
      </c>
      <c r="C30" s="16"/>
      <c r="D30" s="17"/>
      <c r="E30" s="16"/>
      <c r="F30" s="16"/>
      <c r="G30" s="17"/>
      <c r="H30" s="16"/>
      <c r="I30" s="17"/>
    </row>
    <row r="31" spans="1:9" x14ac:dyDescent="0.25">
      <c r="B31">
        <v>76</v>
      </c>
      <c r="C31" s="16"/>
      <c r="D31" s="16"/>
      <c r="E31" s="16"/>
      <c r="F31" s="16"/>
      <c r="G31" s="16"/>
      <c r="H31" s="16"/>
      <c r="I31" s="16"/>
    </row>
    <row r="32" spans="1:9" x14ac:dyDescent="0.25">
      <c r="B32">
        <v>77</v>
      </c>
      <c r="C32" s="16"/>
      <c r="D32" s="17"/>
      <c r="E32" s="16"/>
      <c r="F32" s="16"/>
      <c r="G32" s="17"/>
      <c r="H32" s="16"/>
      <c r="I32" s="17"/>
    </row>
    <row r="33" spans="1:9" x14ac:dyDescent="0.25">
      <c r="B33">
        <v>79</v>
      </c>
      <c r="C33" s="16"/>
      <c r="D33" s="17"/>
      <c r="E33" s="16"/>
      <c r="F33" s="17">
        <v>6</v>
      </c>
      <c r="G33" s="17"/>
      <c r="H33" s="17">
        <v>6</v>
      </c>
      <c r="I33" s="17"/>
    </row>
    <row r="34" spans="1:9" x14ac:dyDescent="0.25">
      <c r="B34">
        <v>84</v>
      </c>
      <c r="C34" s="17">
        <v>3</v>
      </c>
      <c r="D34" s="17"/>
      <c r="E34" s="17">
        <v>3</v>
      </c>
      <c r="F34" s="17">
        <v>3</v>
      </c>
      <c r="G34" s="17"/>
      <c r="H34" s="17">
        <v>3</v>
      </c>
      <c r="I34" s="17"/>
    </row>
    <row r="35" spans="1:9" x14ac:dyDescent="0.25">
      <c r="B35">
        <v>86</v>
      </c>
      <c r="C35" s="17">
        <v>3</v>
      </c>
      <c r="D35" s="18"/>
      <c r="E35" s="17">
        <v>3</v>
      </c>
      <c r="F35" s="17">
        <v>3</v>
      </c>
      <c r="G35" s="17"/>
      <c r="H35" s="17">
        <v>3</v>
      </c>
      <c r="I35" s="18"/>
    </row>
    <row r="36" spans="1:9" x14ac:dyDescent="0.25">
      <c r="A36" t="s">
        <v>11</v>
      </c>
      <c r="B36">
        <v>87</v>
      </c>
    </row>
    <row r="37" spans="1:9" x14ac:dyDescent="0.25">
      <c r="A37" t="s">
        <v>11</v>
      </c>
      <c r="B37">
        <v>88</v>
      </c>
    </row>
    <row r="38" spans="1:9" x14ac:dyDescent="0.25">
      <c r="A38" t="s">
        <v>11</v>
      </c>
      <c r="B38">
        <v>89</v>
      </c>
    </row>
    <row r="39" spans="1:9" x14ac:dyDescent="0.25">
      <c r="A39" t="s">
        <v>11</v>
      </c>
      <c r="B39">
        <v>90</v>
      </c>
    </row>
    <row r="40" spans="1:9" x14ac:dyDescent="0.25">
      <c r="A40" t="s">
        <v>11</v>
      </c>
      <c r="B40">
        <v>91</v>
      </c>
    </row>
    <row r="41" spans="1:9" x14ac:dyDescent="0.25">
      <c r="A41" t="s">
        <v>11</v>
      </c>
      <c r="B41">
        <v>92</v>
      </c>
    </row>
    <row r="42" spans="1:9" x14ac:dyDescent="0.25">
      <c r="B42">
        <v>93</v>
      </c>
      <c r="C42" s="16"/>
      <c r="D42" s="18"/>
      <c r="E42" s="16"/>
      <c r="F42" s="16"/>
      <c r="G42" s="18"/>
      <c r="H42" s="16"/>
      <c r="I42" s="18"/>
    </row>
    <row r="43" spans="1:9" x14ac:dyDescent="0.25">
      <c r="A43" t="s">
        <v>11</v>
      </c>
      <c r="B43">
        <v>94</v>
      </c>
    </row>
    <row r="44" spans="1:9" x14ac:dyDescent="0.25">
      <c r="A44" t="s">
        <v>11</v>
      </c>
      <c r="B44">
        <v>95</v>
      </c>
    </row>
    <row r="45" spans="1:9" x14ac:dyDescent="0.25">
      <c r="B45">
        <v>96</v>
      </c>
      <c r="C45" s="16"/>
      <c r="D45" s="18"/>
      <c r="E45" s="16"/>
      <c r="F45" s="16"/>
      <c r="G45" s="18"/>
      <c r="H45" s="16"/>
      <c r="I45" s="18"/>
    </row>
    <row r="46" spans="1:9" x14ac:dyDescent="0.25">
      <c r="A46" t="s">
        <v>10</v>
      </c>
      <c r="B46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Davis, Matthew</cp:lastModifiedBy>
  <dcterms:created xsi:type="dcterms:W3CDTF">2025-04-02T22:33:53Z</dcterms:created>
  <dcterms:modified xsi:type="dcterms:W3CDTF">2025-12-11T19:47:37Z</dcterms:modified>
</cp:coreProperties>
</file>