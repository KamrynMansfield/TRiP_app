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"/>
    </mc:Choice>
  </mc:AlternateContent>
  <xr:revisionPtr revIDLastSave="0" documentId="13_ncr:1_{CB63462E-5510-455E-B767-1C36EC51E3AB}" xr6:coauthVersionLast="47" xr6:coauthVersionMax="47" xr10:uidLastSave="{00000000-0000-0000-0000-000000000000}"/>
  <bookViews>
    <workbookView xWindow="1815" yWindow="1815" windowWidth="21600" windowHeight="11295" firstSheet="1" activeTab="3" xr2:uid="{DA2AA71B-169F-4234-A349-1FA23D11E3B2}"/>
  </bookViews>
  <sheets>
    <sheet name="UPT-Weekday" sheetId="2" r:id="rId1"/>
    <sheet name="UPT-SatSun" sheetId="3" r:id="rId2"/>
    <sheet name="UPT- Total" sheetId="5" r:id="rId3"/>
    <sheet name="VRM-Weekday" sheetId="6" r:id="rId4"/>
    <sheet name="VRM-SatSun" sheetId="7" r:id="rId5"/>
    <sheet name="VRH-Weekday" sheetId="8" r:id="rId6"/>
    <sheet name="VRH-SatSun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2" l="1"/>
  <c r="B95" i="2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B89" i="2"/>
  <c r="C89" i="2" s="1"/>
  <c r="B90" i="2"/>
  <c r="C90" i="2" s="1"/>
  <c r="B91" i="2"/>
  <c r="C91" i="2" s="1"/>
  <c r="B92" i="2"/>
  <c r="C92" i="2" s="1"/>
  <c r="B93" i="2"/>
  <c r="B94" i="2"/>
  <c r="C94" i="2" s="1"/>
  <c r="B57" i="2"/>
  <c r="C57" i="2" s="1"/>
  <c r="B58" i="2"/>
  <c r="C58" i="2" s="1"/>
  <c r="B59" i="2"/>
  <c r="C59" i="2" s="1"/>
  <c r="B60" i="2"/>
  <c r="C60" i="2" s="1"/>
  <c r="B61" i="2"/>
  <c r="B62" i="2"/>
  <c r="C62" i="2" s="1"/>
  <c r="B63" i="2"/>
  <c r="B64" i="2"/>
  <c r="C64" i="2" s="1"/>
  <c r="B65" i="2"/>
  <c r="C65" i="2" s="1"/>
  <c r="B66" i="2"/>
  <c r="C66" i="2" s="1"/>
  <c r="B67" i="2"/>
  <c r="C67" i="2" s="1"/>
  <c r="B68" i="2"/>
  <c r="C68" i="2" s="1"/>
  <c r="B69" i="2"/>
  <c r="B70" i="2"/>
  <c r="C70" i="2" s="1"/>
  <c r="B71" i="2"/>
  <c r="B72" i="2"/>
  <c r="C72" i="2" s="1"/>
  <c r="B73" i="2"/>
  <c r="C73" i="2" s="1"/>
  <c r="B74" i="2"/>
  <c r="C74" i="2" s="1"/>
  <c r="B75" i="2"/>
  <c r="C75" i="2" s="1"/>
  <c r="B76" i="2"/>
  <c r="C76" i="2" s="1"/>
  <c r="B77" i="2"/>
  <c r="B78" i="2"/>
  <c r="C78" i="2" s="1"/>
  <c r="B79" i="2"/>
  <c r="B80" i="2"/>
  <c r="C80" i="2" s="1"/>
  <c r="B81" i="2"/>
  <c r="C81" i="2" s="1"/>
  <c r="B82" i="2"/>
  <c r="C82" i="2" s="1"/>
  <c r="B83" i="2"/>
  <c r="C83" i="2" s="1"/>
  <c r="B84" i="2"/>
  <c r="C84" i="2" s="1"/>
  <c r="B85" i="2"/>
  <c r="B86" i="2"/>
  <c r="C86" i="2" s="1"/>
  <c r="B87" i="2"/>
  <c r="B88" i="2"/>
  <c r="C88" i="2" s="1"/>
  <c r="B56" i="2"/>
  <c r="C56" i="2" s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4" i="5"/>
  <c r="B3" i="5"/>
  <c r="AM4" i="2"/>
  <c r="AM5" i="2"/>
  <c r="AM6" i="2"/>
  <c r="AM7" i="2"/>
  <c r="AM8" i="2"/>
  <c r="C61" i="2" s="1"/>
  <c r="AM9" i="2"/>
  <c r="AM10" i="2"/>
  <c r="C63" i="2" s="1"/>
  <c r="AM11" i="2"/>
  <c r="AM12" i="2"/>
  <c r="AM13" i="2"/>
  <c r="AM14" i="2"/>
  <c r="AM15" i="2"/>
  <c r="AM16" i="2"/>
  <c r="C69" i="2" s="1"/>
  <c r="AM17" i="2"/>
  <c r="AM18" i="2"/>
  <c r="C71" i="2" s="1"/>
  <c r="AM19" i="2"/>
  <c r="AM20" i="2"/>
  <c r="AM21" i="2"/>
  <c r="AM22" i="2"/>
  <c r="AM23" i="2"/>
  <c r="AM24" i="2"/>
  <c r="C77" i="2" s="1"/>
  <c r="AM25" i="2"/>
  <c r="AM26" i="2"/>
  <c r="C79" i="2" s="1"/>
  <c r="AM27" i="2"/>
  <c r="AM28" i="2"/>
  <c r="AM29" i="2"/>
  <c r="AM30" i="2"/>
  <c r="AM31" i="2"/>
  <c r="AM32" i="2"/>
  <c r="C85" i="2" s="1"/>
  <c r="AM33" i="2"/>
  <c r="AM34" i="2"/>
  <c r="C87" i="2" s="1"/>
  <c r="AM35" i="2"/>
  <c r="AM36" i="2"/>
  <c r="AM37" i="2"/>
  <c r="AM38" i="2"/>
  <c r="AM39" i="2"/>
  <c r="AM40" i="2"/>
  <c r="C93" i="2" s="1"/>
  <c r="AM41" i="2"/>
  <c r="AM42" i="2"/>
  <c r="C95" i="2" s="1"/>
  <c r="AM43" i="2"/>
  <c r="AM44" i="2"/>
  <c r="AM45" i="2"/>
  <c r="AM46" i="2"/>
  <c r="AM47" i="2"/>
  <c r="AM48" i="2"/>
  <c r="AM49" i="2"/>
  <c r="AM50" i="2"/>
  <c r="C103" i="2" s="1"/>
  <c r="AM3" i="2"/>
  <c r="AM4" i="5" l="1"/>
  <c r="AM43" i="5"/>
  <c r="AM35" i="5"/>
  <c r="AM27" i="5"/>
  <c r="AM19" i="5"/>
  <c r="AM11" i="5"/>
  <c r="AM18" i="5"/>
  <c r="AM50" i="5"/>
  <c r="AM34" i="5"/>
  <c r="AM10" i="5"/>
  <c r="AM49" i="5"/>
  <c r="AM41" i="5"/>
  <c r="AM33" i="5"/>
  <c r="AM25" i="5"/>
  <c r="AM17" i="5"/>
  <c r="AM9" i="5"/>
  <c r="AM42" i="5"/>
  <c r="AM26" i="5"/>
  <c r="AM48" i="5"/>
  <c r="AM40" i="5"/>
  <c r="AM32" i="5"/>
  <c r="AM24" i="5"/>
  <c r="AM16" i="5"/>
  <c r="AM8" i="5"/>
  <c r="AM23" i="5"/>
  <c r="AM47" i="5"/>
  <c r="AM15" i="5"/>
  <c r="AM46" i="5"/>
  <c r="AM38" i="5"/>
  <c r="AM30" i="5"/>
  <c r="AM22" i="5"/>
  <c r="AM14" i="5"/>
  <c r="AM6" i="5"/>
  <c r="AM39" i="5"/>
  <c r="AM7" i="5"/>
  <c r="AM45" i="5"/>
  <c r="AM37" i="5"/>
  <c r="AM29" i="5"/>
  <c r="AM21" i="5"/>
  <c r="AM13" i="5"/>
  <c r="AM5" i="5"/>
  <c r="AM44" i="5"/>
  <c r="AM36" i="5"/>
  <c r="AM28" i="5"/>
  <c r="AM20" i="5"/>
  <c r="AM12" i="5"/>
  <c r="AM31" i="5"/>
  <c r="AM3" i="5"/>
</calcChain>
</file>

<file path=xl/sharedStrings.xml><?xml version="1.0" encoding="utf-8"?>
<sst xmlns="http://schemas.openxmlformats.org/spreadsheetml/2006/main" count="32" uniqueCount="9">
  <si>
    <t>Date</t>
  </si>
  <si>
    <t>Route&gt;</t>
  </si>
  <si>
    <t>AVERAGE</t>
  </si>
  <si>
    <t>SUNDAY</t>
  </si>
  <si>
    <t>SATURDAY</t>
  </si>
  <si>
    <t>SAT/SUN COMBINED</t>
  </si>
  <si>
    <t>What about 2023 and 2024?</t>
  </si>
  <si>
    <t>Route</t>
  </si>
  <si>
    <t>Interactive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</si>
</sst>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\-yy;@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3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center"/>
    </xf>
    <xf numFmtId="4" fontId="0" fillId="0" borderId="0" xfId="0" applyNumberFormat="1"/>
    <xf numFmtId="4" fontId="3" fillId="0" borderId="0" xfId="0" applyNumberFormat="1" applyFont="1"/>
    <xf numFmtId="0" fontId="3" fillId="0" borderId="0" xfId="0" applyFont="1"/>
    <xf numFmtId="4" fontId="3" fillId="0" borderId="0" xfId="0" applyNumberFormat="1" applyFont="1" applyFill="1"/>
    <xf numFmtId="164" fontId="0" fillId="0" borderId="0" xfId="1" applyNumberFormat="1" applyFont="1" applyFill="1"/>
    <xf numFmtId="0" fontId="3" fillId="0" borderId="0" xfId="0" applyFont="1" applyFill="1"/>
    <xf numFmtId="3" fontId="3" fillId="0" borderId="0" xfId="0" applyNumberFormat="1" applyFont="1"/>
    <xf numFmtId="3" fontId="0" fillId="0" borderId="0" xfId="1" applyNumberFormat="1" applyFont="1"/>
    <xf numFmtId="3" fontId="3" fillId="0" borderId="0" xfId="0" applyNumberFormat="1" applyFont="1" applyFill="1"/>
    <xf numFmtId="17" fontId="2" fillId="2" borderId="0" xfId="0" applyNumberFormat="1" applyFont="1" applyFill="1"/>
    <xf numFmtId="17" fontId="2" fillId="0" borderId="0" xfId="0" applyNumberFormat="1" applyFont="1" applyFill="1"/>
    <xf numFmtId="17" fontId="2" fillId="3" borderId="0" xfId="0" applyNumberFormat="1" applyFont="1" applyFill="1"/>
    <xf numFmtId="2" fontId="0" fillId="0" borderId="0" xfId="0" applyNumberFormat="1"/>
    <xf numFmtId="2" fontId="0" fillId="0" borderId="0" xfId="0" applyNumberFormat="1" applyFill="1"/>
    <xf numFmtId="0" fontId="0" fillId="0" borderId="0" xfId="0" applyFill="1"/>
    <xf numFmtId="0" fontId="2" fillId="0" borderId="0" xfId="0" applyFont="1" applyFill="1"/>
    <xf numFmtId="0" fontId="2" fillId="3" borderId="0" xfId="0" applyFont="1" applyFill="1"/>
    <xf numFmtId="1" fontId="0" fillId="0" borderId="0" xfId="0" applyNumberFormat="1"/>
    <xf numFmtId="17" fontId="0" fillId="3" borderId="0" xfId="0" applyNumberFormat="1" applyFill="1"/>
    <xf numFmtId="0" fontId="2" fillId="0" borderId="0" xfId="0" applyFont="1" applyFill="1" applyAlignment="1">
      <alignment horizontal="center"/>
    </xf>
    <xf numFmtId="0" fontId="3" fillId="4" borderId="0" xfId="0" applyFont="1" applyFill="1"/>
    <xf numFmtId="0" fontId="3" fillId="0" borderId="0" xfId="0" applyFont="1" applyAlignment="1">
      <alignment horizontal="left"/>
    </xf>
    <xf numFmtId="2" fontId="3" fillId="0" borderId="0" xfId="0" applyNumberFormat="1" applyFont="1" applyFill="1"/>
    <xf numFmtId="17" fontId="2" fillId="5" borderId="0" xfId="0" applyNumberFormat="1" applyFont="1" applyFill="1"/>
    <xf numFmtId="0" fontId="2" fillId="5" borderId="0" xfId="0" applyFont="1" applyFill="1" applyAlignment="1">
      <alignment horizontal="center"/>
    </xf>
    <xf numFmtId="3" fontId="3" fillId="6" borderId="0" xfId="0" applyNumberFormat="1" applyFont="1" applyFill="1"/>
    <xf numFmtId="0" fontId="2" fillId="6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6" borderId="0" xfId="0" applyFont="1" applyFill="1" applyAlignment="1">
      <alignment horizontal="center"/>
    </xf>
    <xf numFmtId="164" fontId="0" fillId="6" borderId="0" xfId="1" applyNumberFormat="1" applyFont="1" applyFill="1"/>
    <xf numFmtId="0" fontId="2" fillId="2" borderId="0" xfId="0" applyFont="1" applyFill="1"/>
    <xf numFmtId="4" fontId="0" fillId="6" borderId="0" xfId="0" applyNumberFormat="1" applyFill="1"/>
    <xf numFmtId="0" fontId="2" fillId="2" borderId="0" xfId="0" applyFont="1" applyFill="1" applyAlignment="1">
      <alignment horizontal="center"/>
    </xf>
    <xf numFmtId="0" fontId="0" fillId="6" borderId="0" xfId="0" applyFill="1"/>
    <xf numFmtId="3" fontId="3" fillId="2" borderId="0" xfId="0" applyNumberFormat="1" applyFont="1" applyFill="1"/>
    <xf numFmtId="164" fontId="0" fillId="2" borderId="0" xfId="1" applyNumberFormat="1" applyFont="1" applyFill="1"/>
    <xf numFmtId="0" fontId="3" fillId="2" borderId="0" xfId="0" applyFont="1" applyFill="1"/>
    <xf numFmtId="4" fontId="3" fillId="2" borderId="0" xfId="0" applyNumberFormat="1" applyFont="1" applyFill="1"/>
    <xf numFmtId="3" fontId="0" fillId="6" borderId="0" xfId="0" applyNumberFormat="1" applyFill="1"/>
    <xf numFmtId="4" fontId="0" fillId="2" borderId="0" xfId="0" applyNumberFormat="1" applyFill="1"/>
    <xf numFmtId="2" fontId="3" fillId="6" borderId="0" xfId="0" applyNumberFormat="1" applyFont="1" applyFill="1"/>
    <xf numFmtId="0" fontId="0" fillId="2" borderId="0" xfId="0" applyFill="1"/>
    <xf numFmtId="0" fontId="3" fillId="5" borderId="0" xfId="0" applyFont="1" applyFill="1"/>
    <xf numFmtId="4" fontId="3" fillId="6" borderId="0" xfId="0" applyNumberFormat="1" applyFont="1" applyFill="1"/>
    <xf numFmtId="0" fontId="4" fillId="6" borderId="0" xfId="0" applyFont="1" applyFill="1" applyAlignment="1">
      <alignment horizontal="center"/>
    </xf>
    <xf numFmtId="3" fontId="3" fillId="7" borderId="0" xfId="0" applyNumberFormat="1" applyFont="1" applyFill="1"/>
    <xf numFmtId="3" fontId="0" fillId="7" borderId="0" xfId="0" applyNumberFormat="1" applyFill="1"/>
    <xf numFmtId="165" fontId="0" fillId="0" borderId="0" xfId="1" applyNumberFormat="1" applyFont="1"/>
    <xf numFmtId="164" fontId="5" fillId="0" borderId="0" xfId="1" applyNumberFormat="1" applyFont="1" applyAlignment="1">
      <alignment vertical="center"/>
    </xf>
    <xf numFmtId="164" fontId="0" fillId="0" borderId="1" xfId="1" applyNumberFormat="1" applyFont="1" applyBorder="1"/>
    <xf numFmtId="164" fontId="0" fillId="8" borderId="1" xfId="1" applyNumberFormat="1" applyFont="1" applyFill="1" applyBorder="1"/>
    <xf numFmtId="165" fontId="0" fillId="0" borderId="1" xfId="1" applyNumberFormat="1" applyFont="1" applyBorder="1"/>
    <xf numFmtId="164" fontId="7" fillId="0" borderId="1" xfId="1" applyNumberFormat="1" applyFont="1" applyFill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164" fontId="6" fillId="8" borderId="1" xfId="1" applyNumberFormat="1" applyFont="1" applyFill="1" applyBorder="1" applyAlignment="1">
      <alignment horizontal="center" vertical="center"/>
    </xf>
    <xf numFmtId="17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'UPT-Weekday'!$C$54</c:f>
              <c:strCache>
                <c:ptCount val="1"/>
                <c:pt idx="0">
                  <c:v> Monthly Unlinked Passenger Trips for Route 42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'UPT-Weekday'!$B$56:$B$103</c:f>
              <c:numCache>
                <c:formatCode>[$-409]mmm\-yy;@</c:formatCode>
                <c:ptCount val="48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</c:numCache>
            </c:numRef>
          </c:cat>
          <c:val>
            <c:numRef>
              <c:f>'UPT-Weekday'!$C$56:$C$103</c:f>
              <c:numCache>
                <c:formatCode>_(* #,##0_);_(* \(#,##0\);_(* "-"??_);_(@_)</c:formatCode>
                <c:ptCount val="48"/>
                <c:pt idx="0">
                  <c:v>2686.22</c:v>
                </c:pt>
                <c:pt idx="1">
                  <c:v>2297</c:v>
                </c:pt>
                <c:pt idx="2">
                  <c:v>3280</c:v>
                </c:pt>
                <c:pt idx="3">
                  <c:v>3492</c:v>
                </c:pt>
                <c:pt idx="4">
                  <c:v>3312</c:v>
                </c:pt>
                <c:pt idx="5">
                  <c:v>3836</c:v>
                </c:pt>
                <c:pt idx="6">
                  <c:v>3729</c:v>
                </c:pt>
                <c:pt idx="7">
                  <c:v>3951</c:v>
                </c:pt>
                <c:pt idx="8">
                  <c:v>4045</c:v>
                </c:pt>
                <c:pt idx="9">
                  <c:v>3799</c:v>
                </c:pt>
                <c:pt idx="10">
                  <c:v>3709</c:v>
                </c:pt>
                <c:pt idx="11">
                  <c:v>3922</c:v>
                </c:pt>
                <c:pt idx="12">
                  <c:v>3261</c:v>
                </c:pt>
                <c:pt idx="13">
                  <c:v>3496</c:v>
                </c:pt>
                <c:pt idx="14">
                  <c:v>4399</c:v>
                </c:pt>
                <c:pt idx="15">
                  <c:v>4404</c:v>
                </c:pt>
                <c:pt idx="16">
                  <c:v>4768</c:v>
                </c:pt>
                <c:pt idx="17">
                  <c:v>4569</c:v>
                </c:pt>
                <c:pt idx="18">
                  <c:v>4341</c:v>
                </c:pt>
                <c:pt idx="19">
                  <c:v>5673</c:v>
                </c:pt>
                <c:pt idx="20">
                  <c:v>5482</c:v>
                </c:pt>
                <c:pt idx="21">
                  <c:v>4987</c:v>
                </c:pt>
                <c:pt idx="22">
                  <c:v>4948</c:v>
                </c:pt>
                <c:pt idx="23">
                  <c:v>4583</c:v>
                </c:pt>
                <c:pt idx="24">
                  <c:v>4400</c:v>
                </c:pt>
                <c:pt idx="25">
                  <c:v>4412</c:v>
                </c:pt>
                <c:pt idx="26">
                  <c:v>5844</c:v>
                </c:pt>
                <c:pt idx="27">
                  <c:v>5299</c:v>
                </c:pt>
                <c:pt idx="28">
                  <c:v>5813</c:v>
                </c:pt>
                <c:pt idx="29">
                  <c:v>5742</c:v>
                </c:pt>
                <c:pt idx="30">
                  <c:v>5126</c:v>
                </c:pt>
                <c:pt idx="31">
                  <c:v>6600</c:v>
                </c:pt>
                <c:pt idx="32">
                  <c:v>6072</c:v>
                </c:pt>
                <c:pt idx="33">
                  <c:v>6444</c:v>
                </c:pt>
                <c:pt idx="34">
                  <c:v>5691</c:v>
                </c:pt>
                <c:pt idx="35">
                  <c:v>4823</c:v>
                </c:pt>
                <c:pt idx="36">
                  <c:v>4958</c:v>
                </c:pt>
                <c:pt idx="37">
                  <c:v>6374</c:v>
                </c:pt>
                <c:pt idx="38">
                  <c:v>7045</c:v>
                </c:pt>
                <c:pt idx="39">
                  <c:v>8656</c:v>
                </c:pt>
                <c:pt idx="40">
                  <c:v>9440</c:v>
                </c:pt>
                <c:pt idx="41">
                  <c:v>8674</c:v>
                </c:pt>
                <c:pt idx="42">
                  <c:v>8958</c:v>
                </c:pt>
                <c:pt idx="43">
                  <c:v>9587</c:v>
                </c:pt>
                <c:pt idx="44">
                  <c:v>8947</c:v>
                </c:pt>
                <c:pt idx="45">
                  <c:v>10802</c:v>
                </c:pt>
                <c:pt idx="46">
                  <c:v>8175</c:v>
                </c:pt>
                <c:pt idx="47">
                  <c:v>6031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0-4483-B2AD-330621FF2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50432"/>
        <c:axId val="55152512"/>
      </c:lineChart>
      <c:dateAx>
        <c:axId val="55150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2512"/>
        <c:crosses val="autoZero"/>
        <c:auto val="1"/>
        <c:lblOffset val="100"/>
        <c:baseTimeUnit val="months"/>
      </c:dateAx>
      <c:valAx>
        <c:axId val="551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Unlinked Passenger Trips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54</xdr:row>
      <xdr:rowOff>114300</xdr:rowOff>
    </xdr:from>
    <xdr:to>
      <xdr:col>10</xdr:col>
      <xdr:colOff>45720</xdr:colOff>
      <xdr:row>72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3E888-330C-4488-980B-9E0676EC9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B416-36AB-4B52-BD5B-D34D4A7DFBCF}">
  <dimension ref="A1:AN107"/>
  <sheetViews>
    <sheetView workbookViewId="0">
      <pane xSplit="1" topLeftCell="W1" activePane="topRight" state="frozen"/>
      <selection pane="topRight" activeCell="AI39" sqref="AI39"/>
    </sheetView>
  </sheetViews>
  <sheetFormatPr defaultRowHeight="15"/>
  <cols>
    <col min="1" max="1" width="9.125" style="21"/>
    <col min="2" max="2" width="9" customWidth="1"/>
    <col min="3" max="3" width="10.375" customWidth="1"/>
    <col min="4" max="4" width="12.625" customWidth="1"/>
    <col min="5" max="5" width="9.375" customWidth="1"/>
    <col min="6" max="7" width="10.125" bestFit="1" customWidth="1"/>
    <col min="8" max="9" width="9.25" bestFit="1" customWidth="1"/>
    <col min="10" max="10" width="10.125" bestFit="1" customWidth="1"/>
    <col min="11" max="11" width="9.25" bestFit="1" customWidth="1"/>
    <col min="12" max="12" width="10.125" bestFit="1" customWidth="1"/>
    <col min="13" max="13" width="9.25" bestFit="1" customWidth="1"/>
    <col min="14" max="14" width="10.125" bestFit="1" customWidth="1"/>
    <col min="15" max="15" width="11.25" customWidth="1"/>
    <col min="16" max="16" width="12.75" customWidth="1"/>
    <col min="17" max="17" width="9.25" bestFit="1" customWidth="1"/>
    <col min="18" max="18" width="10.125" bestFit="1" customWidth="1"/>
    <col min="19" max="19" width="9.25" bestFit="1" customWidth="1"/>
    <col min="20" max="20" width="7.25" customWidth="1"/>
    <col min="21" max="21" width="7.875" customWidth="1"/>
    <col min="22" max="25" width="10.125" bestFit="1" customWidth="1"/>
    <col min="26" max="26" width="8.875" customWidth="1"/>
    <col min="27" max="29" width="8" customWidth="1"/>
    <col min="30" max="33" width="9.25" bestFit="1" customWidth="1"/>
    <col min="34" max="34" width="10.625" customWidth="1"/>
    <col min="35" max="35" width="11" customWidth="1"/>
    <col min="36" max="36" width="9.25" bestFit="1" customWidth="1"/>
    <col min="37" max="38" width="6.75" customWidth="1"/>
    <col min="39" max="39" width="11.875" customWidth="1"/>
  </cols>
  <sheetData>
    <row r="1" spans="1:40" s="4" customFormat="1">
      <c r="A1" s="24" t="s">
        <v>1</v>
      </c>
      <c r="B1" s="29">
        <v>3</v>
      </c>
      <c r="C1" s="29">
        <v>4</v>
      </c>
      <c r="D1" s="29">
        <v>5</v>
      </c>
      <c r="E1" s="29">
        <v>6</v>
      </c>
      <c r="F1" s="29">
        <v>7</v>
      </c>
      <c r="G1" s="29">
        <v>8</v>
      </c>
      <c r="H1" s="29">
        <v>9</v>
      </c>
      <c r="I1" s="29">
        <v>14</v>
      </c>
      <c r="J1" s="29">
        <v>17</v>
      </c>
      <c r="K1" s="29">
        <v>18</v>
      </c>
      <c r="L1" s="29">
        <v>19</v>
      </c>
      <c r="M1" s="29">
        <v>21</v>
      </c>
      <c r="N1" s="29">
        <v>22</v>
      </c>
      <c r="O1" s="29">
        <v>23</v>
      </c>
      <c r="P1" s="29">
        <v>25</v>
      </c>
      <c r="Q1" s="29">
        <v>28</v>
      </c>
      <c r="R1" s="29">
        <v>29</v>
      </c>
      <c r="S1" s="29">
        <v>34</v>
      </c>
      <c r="T1" s="34">
        <v>41</v>
      </c>
      <c r="U1" s="29">
        <v>42</v>
      </c>
      <c r="V1" s="29">
        <v>50</v>
      </c>
      <c r="W1" s="29">
        <v>52</v>
      </c>
      <c r="X1" s="29">
        <v>55</v>
      </c>
      <c r="Y1" s="29">
        <v>56</v>
      </c>
      <c r="Z1" s="29">
        <v>64</v>
      </c>
      <c r="AA1" s="29">
        <v>70</v>
      </c>
      <c r="AB1" s="29">
        <v>71</v>
      </c>
      <c r="AC1" s="29">
        <v>72</v>
      </c>
      <c r="AD1" s="29">
        <v>75</v>
      </c>
      <c r="AE1" s="29">
        <v>76</v>
      </c>
      <c r="AF1" s="29">
        <v>77</v>
      </c>
      <c r="AG1" s="29">
        <v>79</v>
      </c>
      <c r="AH1" s="34">
        <v>84</v>
      </c>
      <c r="AI1" s="34">
        <v>86</v>
      </c>
      <c r="AJ1" s="29">
        <v>93</v>
      </c>
      <c r="AK1" s="29">
        <v>96</v>
      </c>
      <c r="AL1" s="4">
        <v>97</v>
      </c>
      <c r="AM1" s="4" t="s">
        <v>2</v>
      </c>
    </row>
    <row r="2" spans="1:40">
      <c r="A2" s="20" t="s">
        <v>0</v>
      </c>
      <c r="AM2" s="2"/>
    </row>
    <row r="3" spans="1:40">
      <c r="A3" s="16">
        <v>44197</v>
      </c>
      <c r="B3" s="11">
        <v>7116.78</v>
      </c>
      <c r="C3" s="11">
        <v>5952.43</v>
      </c>
      <c r="D3" s="11">
        <v>7457.63</v>
      </c>
      <c r="E3" s="11">
        <v>4138.55</v>
      </c>
      <c r="F3" s="11">
        <v>8590.56</v>
      </c>
      <c r="G3" s="11">
        <v>7615.01</v>
      </c>
      <c r="H3" s="11">
        <v>3382.43</v>
      </c>
      <c r="I3" s="11">
        <v>3617.2</v>
      </c>
      <c r="J3" s="11">
        <v>3664.93</v>
      </c>
      <c r="K3" s="11">
        <v>3245.1</v>
      </c>
      <c r="L3" s="11">
        <v>6578.85</v>
      </c>
      <c r="M3" s="11">
        <v>1308.74</v>
      </c>
      <c r="N3" s="11">
        <v>15175.21</v>
      </c>
      <c r="O3" s="11">
        <v>16259.46</v>
      </c>
      <c r="P3" s="11">
        <v>1641.25</v>
      </c>
      <c r="Q3" s="11">
        <v>2020.01</v>
      </c>
      <c r="R3" s="11">
        <v>6565.05</v>
      </c>
      <c r="S3" s="11">
        <v>1674.7</v>
      </c>
      <c r="T3" s="30"/>
      <c r="U3" s="11">
        <v>2686.22</v>
      </c>
      <c r="V3" s="11">
        <v>17330.95</v>
      </c>
      <c r="W3" s="11">
        <v>24624.09</v>
      </c>
      <c r="X3" s="11">
        <v>33005.800000000003</v>
      </c>
      <c r="Y3" s="11">
        <v>34691.39</v>
      </c>
      <c r="Z3" s="11"/>
      <c r="AA3" s="11"/>
      <c r="AB3" s="11"/>
      <c r="AC3" s="11">
        <v>498.72</v>
      </c>
      <c r="AD3" s="11"/>
      <c r="AE3" s="11">
        <v>3612.41</v>
      </c>
      <c r="AF3" s="11">
        <v>661.6</v>
      </c>
      <c r="AG3" s="11"/>
      <c r="AH3" s="30"/>
      <c r="AI3" s="30"/>
      <c r="AJ3" s="11">
        <v>1275</v>
      </c>
      <c r="AK3" s="11">
        <v>720</v>
      </c>
      <c r="AL3" s="11"/>
      <c r="AM3" s="2">
        <f>AVERAGE(B3:AL3)</f>
        <v>8039.6453571428565</v>
      </c>
      <c r="AN3" s="2"/>
    </row>
    <row r="4" spans="1:40">
      <c r="A4" s="16">
        <v>44228</v>
      </c>
      <c r="B4" s="11">
        <v>7104</v>
      </c>
      <c r="C4" s="11">
        <v>4820</v>
      </c>
      <c r="D4" s="11">
        <v>6666</v>
      </c>
      <c r="E4" s="11">
        <v>3545</v>
      </c>
      <c r="F4" s="11">
        <v>8387</v>
      </c>
      <c r="G4" s="11">
        <v>6375</v>
      </c>
      <c r="H4" s="11">
        <v>2618</v>
      </c>
      <c r="I4" s="11">
        <v>2768</v>
      </c>
      <c r="J4" s="11">
        <v>3378</v>
      </c>
      <c r="K4" s="11">
        <v>2833</v>
      </c>
      <c r="L4" s="11">
        <v>5297</v>
      </c>
      <c r="M4" s="11">
        <v>972</v>
      </c>
      <c r="N4" s="11">
        <v>14033</v>
      </c>
      <c r="O4" s="11">
        <v>15803</v>
      </c>
      <c r="P4" s="11">
        <v>1568</v>
      </c>
      <c r="Q4" s="11">
        <v>1735</v>
      </c>
      <c r="R4" s="11">
        <v>4764</v>
      </c>
      <c r="S4" s="11">
        <v>1310</v>
      </c>
      <c r="T4" s="30">
        <v>0</v>
      </c>
      <c r="U4" s="11">
        <v>2297</v>
      </c>
      <c r="V4" s="11">
        <v>16603</v>
      </c>
      <c r="W4" s="11">
        <v>23670</v>
      </c>
      <c r="X4" s="11">
        <v>31763</v>
      </c>
      <c r="Y4" s="11">
        <v>32648</v>
      </c>
      <c r="Z4" s="11">
        <v>0</v>
      </c>
      <c r="AA4" s="11"/>
      <c r="AB4" s="11"/>
      <c r="AC4" s="11">
        <v>358</v>
      </c>
      <c r="AD4" s="11"/>
      <c r="AE4" s="11">
        <v>2934</v>
      </c>
      <c r="AF4" s="11">
        <v>547</v>
      </c>
      <c r="AG4" s="11"/>
      <c r="AH4" s="30">
        <v>0</v>
      </c>
      <c r="AI4" s="30">
        <v>0</v>
      </c>
      <c r="AJ4" s="11">
        <v>1180</v>
      </c>
      <c r="AK4" s="11">
        <v>647</v>
      </c>
      <c r="AL4" s="11"/>
      <c r="AM4" s="2">
        <f t="shared" ref="AM4:AM50" si="0">AVERAGE(B4:AL4)</f>
        <v>6456.96875</v>
      </c>
    </row>
    <row r="5" spans="1:40">
      <c r="A5" s="16">
        <v>44256</v>
      </c>
      <c r="B5" s="11">
        <v>10033</v>
      </c>
      <c r="C5" s="11">
        <v>7887</v>
      </c>
      <c r="D5" s="11">
        <v>10666</v>
      </c>
      <c r="E5" s="11">
        <v>5856</v>
      </c>
      <c r="F5" s="11">
        <v>12154</v>
      </c>
      <c r="G5" s="11">
        <v>9648</v>
      </c>
      <c r="H5" s="11">
        <v>3476</v>
      </c>
      <c r="I5" s="11">
        <v>4319</v>
      </c>
      <c r="J5" s="11">
        <v>5285</v>
      </c>
      <c r="K5" s="11">
        <v>3775</v>
      </c>
      <c r="L5" s="11">
        <v>8652</v>
      </c>
      <c r="M5" s="11">
        <v>1562</v>
      </c>
      <c r="N5" s="11">
        <v>18474</v>
      </c>
      <c r="O5" s="11">
        <v>20924</v>
      </c>
      <c r="P5" s="11">
        <v>2422</v>
      </c>
      <c r="Q5" s="11">
        <v>2353</v>
      </c>
      <c r="R5" s="11">
        <v>7269</v>
      </c>
      <c r="S5" s="11">
        <v>2315</v>
      </c>
      <c r="T5" s="30">
        <v>0</v>
      </c>
      <c r="U5" s="11">
        <v>3280</v>
      </c>
      <c r="V5" s="11">
        <v>22461</v>
      </c>
      <c r="W5" s="11">
        <v>29896</v>
      </c>
      <c r="X5" s="11">
        <v>43926</v>
      </c>
      <c r="Y5" s="11">
        <v>45042</v>
      </c>
      <c r="Z5" s="11">
        <v>0</v>
      </c>
      <c r="AA5" s="11"/>
      <c r="AB5" s="11"/>
      <c r="AC5" s="11">
        <v>479</v>
      </c>
      <c r="AD5" s="11"/>
      <c r="AE5" s="11">
        <v>4535</v>
      </c>
      <c r="AF5" s="11">
        <v>725</v>
      </c>
      <c r="AG5" s="11"/>
      <c r="AH5" s="30">
        <v>0</v>
      </c>
      <c r="AI5" s="30">
        <v>0</v>
      </c>
      <c r="AJ5" s="11">
        <v>1602</v>
      </c>
      <c r="AK5" s="11">
        <v>914</v>
      </c>
      <c r="AL5" s="11"/>
      <c r="AM5" s="2">
        <f t="shared" si="0"/>
        <v>9060.3125</v>
      </c>
    </row>
    <row r="6" spans="1:40">
      <c r="A6" s="28">
        <v>44287</v>
      </c>
      <c r="B6" s="11">
        <v>10558</v>
      </c>
      <c r="C6" s="11">
        <v>9303</v>
      </c>
      <c r="D6" s="11">
        <v>12008</v>
      </c>
      <c r="E6" s="11">
        <v>6623</v>
      </c>
      <c r="F6" s="11">
        <v>14896</v>
      </c>
      <c r="G6" s="11">
        <v>10023</v>
      </c>
      <c r="H6" s="11">
        <v>3860</v>
      </c>
      <c r="I6" s="11">
        <v>4458</v>
      </c>
      <c r="J6" s="11">
        <v>5797</v>
      </c>
      <c r="K6" s="11">
        <v>4480</v>
      </c>
      <c r="L6" s="11">
        <v>8857</v>
      </c>
      <c r="M6" s="11">
        <v>1496</v>
      </c>
      <c r="N6" s="11">
        <v>20127</v>
      </c>
      <c r="O6" s="11">
        <v>24513</v>
      </c>
      <c r="P6" s="11">
        <v>2084</v>
      </c>
      <c r="Q6" s="11">
        <v>2604</v>
      </c>
      <c r="R6" s="11">
        <v>7511</v>
      </c>
      <c r="S6" s="11">
        <v>2463</v>
      </c>
      <c r="T6" s="11">
        <v>215</v>
      </c>
      <c r="U6" s="11">
        <v>3492</v>
      </c>
      <c r="V6" s="11">
        <v>25108</v>
      </c>
      <c r="W6" s="11">
        <v>33270</v>
      </c>
      <c r="X6" s="11">
        <v>48466</v>
      </c>
      <c r="Y6" s="11">
        <v>46946</v>
      </c>
      <c r="Z6" s="11">
        <v>0</v>
      </c>
      <c r="AA6" s="11"/>
      <c r="AB6" s="11"/>
      <c r="AC6" s="11">
        <v>147</v>
      </c>
      <c r="AD6" s="11"/>
      <c r="AE6" s="11">
        <v>4979</v>
      </c>
      <c r="AF6" s="11">
        <v>1074</v>
      </c>
      <c r="AG6" s="11"/>
      <c r="AH6" s="11">
        <v>356</v>
      </c>
      <c r="AI6" s="11">
        <v>167</v>
      </c>
      <c r="AJ6" s="11">
        <v>1673</v>
      </c>
      <c r="AK6" s="11">
        <v>246</v>
      </c>
      <c r="AL6" s="11"/>
      <c r="AM6" s="2">
        <f t="shared" si="0"/>
        <v>9931.25</v>
      </c>
    </row>
    <row r="7" spans="1:40">
      <c r="A7" s="16">
        <v>44317</v>
      </c>
      <c r="B7" s="11">
        <v>9648</v>
      </c>
      <c r="C7" s="11">
        <v>8465</v>
      </c>
      <c r="D7" s="11">
        <v>11046</v>
      </c>
      <c r="E7" s="11">
        <v>6243</v>
      </c>
      <c r="F7" s="11">
        <v>13984</v>
      </c>
      <c r="G7" s="11">
        <v>9148</v>
      </c>
      <c r="H7" s="11">
        <v>3353</v>
      </c>
      <c r="I7" s="11">
        <v>4041</v>
      </c>
      <c r="J7" s="11">
        <v>5207</v>
      </c>
      <c r="K7" s="11">
        <v>4266</v>
      </c>
      <c r="L7" s="11">
        <v>7576</v>
      </c>
      <c r="M7" s="11">
        <v>1162</v>
      </c>
      <c r="N7" s="11">
        <v>18298</v>
      </c>
      <c r="O7" s="11">
        <v>24712</v>
      </c>
      <c r="P7" s="11">
        <v>1523</v>
      </c>
      <c r="Q7" s="11">
        <v>2500</v>
      </c>
      <c r="R7" s="11">
        <v>6130</v>
      </c>
      <c r="S7" s="11">
        <v>2076</v>
      </c>
      <c r="T7" s="11">
        <v>292</v>
      </c>
      <c r="U7" s="11">
        <v>3312</v>
      </c>
      <c r="V7" s="11">
        <v>22083</v>
      </c>
      <c r="W7" s="11">
        <v>31695</v>
      </c>
      <c r="X7" s="11">
        <v>45554</v>
      </c>
      <c r="Y7" s="11">
        <v>42851</v>
      </c>
      <c r="Z7" s="11">
        <v>0</v>
      </c>
      <c r="AA7" s="11"/>
      <c r="AB7" s="11"/>
      <c r="AC7" s="11">
        <v>0</v>
      </c>
      <c r="AD7" s="11"/>
      <c r="AE7" s="11">
        <v>4926</v>
      </c>
      <c r="AF7" s="11">
        <v>1333</v>
      </c>
      <c r="AG7" s="11"/>
      <c r="AH7" s="11">
        <v>566</v>
      </c>
      <c r="AI7" s="11">
        <v>281</v>
      </c>
      <c r="AJ7" s="11">
        <v>1406</v>
      </c>
      <c r="AK7" s="11">
        <v>0</v>
      </c>
      <c r="AL7" s="11"/>
      <c r="AM7" s="2">
        <f t="shared" si="0"/>
        <v>9177.40625</v>
      </c>
    </row>
    <row r="8" spans="1:40">
      <c r="A8" s="16">
        <v>44348</v>
      </c>
      <c r="B8" s="11">
        <v>10755</v>
      </c>
      <c r="C8" s="11">
        <v>9132</v>
      </c>
      <c r="D8" s="11">
        <v>11362</v>
      </c>
      <c r="E8" s="11">
        <v>6498</v>
      </c>
      <c r="F8" s="11">
        <v>15347</v>
      </c>
      <c r="G8" s="11">
        <v>10365</v>
      </c>
      <c r="H8" s="11">
        <v>4010</v>
      </c>
      <c r="I8" s="11">
        <v>4844</v>
      </c>
      <c r="J8" s="11">
        <v>6212</v>
      </c>
      <c r="K8" s="11">
        <v>5045</v>
      </c>
      <c r="L8" s="11">
        <v>9092</v>
      </c>
      <c r="M8" s="11">
        <v>1351</v>
      </c>
      <c r="N8" s="11">
        <v>19398</v>
      </c>
      <c r="O8" s="11">
        <v>26706</v>
      </c>
      <c r="P8" s="11">
        <v>1574</v>
      </c>
      <c r="Q8" s="11">
        <v>2806</v>
      </c>
      <c r="R8" s="11">
        <v>7064</v>
      </c>
      <c r="S8" s="11">
        <v>3218</v>
      </c>
      <c r="T8" s="11">
        <v>338</v>
      </c>
      <c r="U8" s="11">
        <v>3836</v>
      </c>
      <c r="V8" s="11">
        <v>23834</v>
      </c>
      <c r="W8" s="11">
        <v>35225</v>
      </c>
      <c r="X8" s="11">
        <v>53403</v>
      </c>
      <c r="Y8" s="11">
        <v>47727</v>
      </c>
      <c r="Z8" s="11">
        <v>0</v>
      </c>
      <c r="AA8" s="11"/>
      <c r="AB8" s="11"/>
      <c r="AC8" s="11">
        <v>0</v>
      </c>
      <c r="AD8" s="11"/>
      <c r="AE8" s="11">
        <v>5267</v>
      </c>
      <c r="AF8" s="11">
        <v>1817</v>
      </c>
      <c r="AG8" s="11"/>
      <c r="AH8" s="11">
        <v>766</v>
      </c>
      <c r="AI8" s="11">
        <v>405</v>
      </c>
      <c r="AJ8" s="11">
        <v>1651</v>
      </c>
      <c r="AK8" s="11">
        <v>0</v>
      </c>
      <c r="AL8" s="11"/>
      <c r="AM8" s="2">
        <f t="shared" si="0"/>
        <v>10282.75</v>
      </c>
    </row>
    <row r="9" spans="1:40">
      <c r="A9" s="16">
        <v>44378</v>
      </c>
      <c r="B9" s="11">
        <v>10994</v>
      </c>
      <c r="C9" s="11">
        <v>9339</v>
      </c>
      <c r="D9" s="11">
        <v>11720</v>
      </c>
      <c r="E9" s="11">
        <v>6888</v>
      </c>
      <c r="F9" s="11">
        <v>15686</v>
      </c>
      <c r="G9" s="11">
        <v>10682</v>
      </c>
      <c r="H9" s="11">
        <v>3845</v>
      </c>
      <c r="I9" s="11">
        <v>4492</v>
      </c>
      <c r="J9" s="11">
        <v>6037</v>
      </c>
      <c r="K9" s="11">
        <v>5505</v>
      </c>
      <c r="L9" s="11">
        <v>9519</v>
      </c>
      <c r="M9" s="11">
        <v>1215</v>
      </c>
      <c r="N9" s="11">
        <v>19593</v>
      </c>
      <c r="O9" s="11">
        <v>27509</v>
      </c>
      <c r="P9" s="11">
        <v>1405</v>
      </c>
      <c r="Q9" s="11">
        <v>2913</v>
      </c>
      <c r="R9" s="11">
        <v>7266</v>
      </c>
      <c r="S9" s="11">
        <v>3630</v>
      </c>
      <c r="T9" s="11">
        <v>386</v>
      </c>
      <c r="U9" s="11">
        <v>3729</v>
      </c>
      <c r="V9" s="11">
        <v>24989</v>
      </c>
      <c r="W9" s="11">
        <v>37343</v>
      </c>
      <c r="X9" s="11">
        <v>59494</v>
      </c>
      <c r="Y9" s="11">
        <v>49155</v>
      </c>
      <c r="Z9" s="11">
        <v>0</v>
      </c>
      <c r="AA9" s="11"/>
      <c r="AB9" s="11"/>
      <c r="AC9" s="11">
        <v>0</v>
      </c>
      <c r="AD9" s="11"/>
      <c r="AE9" s="11">
        <v>5156</v>
      </c>
      <c r="AF9" s="11">
        <v>1857</v>
      </c>
      <c r="AG9" s="11"/>
      <c r="AH9" s="11">
        <v>815</v>
      </c>
      <c r="AI9" s="11">
        <v>475</v>
      </c>
      <c r="AJ9" s="11">
        <v>1646</v>
      </c>
      <c r="AK9" s="11">
        <v>0</v>
      </c>
      <c r="AL9" s="12"/>
      <c r="AM9" s="2">
        <f t="shared" si="0"/>
        <v>10727.59375</v>
      </c>
    </row>
    <row r="10" spans="1:40">
      <c r="A10" s="16">
        <v>44409</v>
      </c>
      <c r="B10" s="11">
        <v>13194</v>
      </c>
      <c r="C10" s="11">
        <v>11405</v>
      </c>
      <c r="D10" s="13">
        <v>15529</v>
      </c>
      <c r="E10" s="11">
        <v>8398</v>
      </c>
      <c r="F10" s="11">
        <v>21341</v>
      </c>
      <c r="G10" s="11">
        <v>12136</v>
      </c>
      <c r="H10" s="11">
        <v>4039</v>
      </c>
      <c r="I10" s="11">
        <v>4826</v>
      </c>
      <c r="J10" s="11">
        <v>6897</v>
      </c>
      <c r="K10" s="11">
        <v>6276</v>
      </c>
      <c r="L10" s="11">
        <v>11188</v>
      </c>
      <c r="M10" s="11">
        <v>1599</v>
      </c>
      <c r="N10" s="11">
        <v>20647</v>
      </c>
      <c r="O10" s="11">
        <v>30704</v>
      </c>
      <c r="P10" s="11">
        <v>2032</v>
      </c>
      <c r="Q10" s="11">
        <v>3318</v>
      </c>
      <c r="R10" s="11">
        <v>7555</v>
      </c>
      <c r="S10" s="11">
        <v>3471</v>
      </c>
      <c r="T10" s="11">
        <v>844</v>
      </c>
      <c r="U10" s="11">
        <v>3951</v>
      </c>
      <c r="V10" s="11">
        <v>28076</v>
      </c>
      <c r="W10" s="11">
        <v>40794</v>
      </c>
      <c r="X10" s="11">
        <v>67353</v>
      </c>
      <c r="Y10" s="11">
        <v>54630</v>
      </c>
      <c r="Z10" s="11">
        <v>0</v>
      </c>
      <c r="AA10" s="11"/>
      <c r="AB10" s="11"/>
      <c r="AC10" s="11">
        <v>0</v>
      </c>
      <c r="AD10" s="11"/>
      <c r="AE10" s="11">
        <v>5048</v>
      </c>
      <c r="AF10" s="11">
        <v>2091</v>
      </c>
      <c r="AG10" s="11"/>
      <c r="AH10" s="11">
        <v>1094</v>
      </c>
      <c r="AI10" s="11">
        <v>500</v>
      </c>
      <c r="AJ10" s="11">
        <v>2047</v>
      </c>
      <c r="AK10" s="11">
        <v>0</v>
      </c>
      <c r="AL10" s="11"/>
      <c r="AM10" s="2">
        <f t="shared" si="0"/>
        <v>12218.21875</v>
      </c>
    </row>
    <row r="11" spans="1:40">
      <c r="A11" s="16">
        <v>44440</v>
      </c>
      <c r="B11" s="11">
        <v>13757</v>
      </c>
      <c r="C11" s="11">
        <v>11450</v>
      </c>
      <c r="D11" s="11">
        <v>16904</v>
      </c>
      <c r="E11" s="11">
        <v>8751</v>
      </c>
      <c r="F11" s="11">
        <v>22891</v>
      </c>
      <c r="G11" s="11">
        <v>12271</v>
      </c>
      <c r="H11" s="11">
        <v>4158</v>
      </c>
      <c r="I11" s="11">
        <v>4959</v>
      </c>
      <c r="J11" s="11">
        <v>7442</v>
      </c>
      <c r="K11" s="11">
        <v>6059</v>
      </c>
      <c r="L11" s="11">
        <v>11996</v>
      </c>
      <c r="M11" s="11">
        <v>1667</v>
      </c>
      <c r="N11" s="11">
        <v>21047</v>
      </c>
      <c r="O11" s="11">
        <v>32895</v>
      </c>
      <c r="P11" s="11">
        <v>2268</v>
      </c>
      <c r="Q11" s="11">
        <v>3323</v>
      </c>
      <c r="R11" s="11">
        <v>7873</v>
      </c>
      <c r="S11" s="11">
        <v>3079</v>
      </c>
      <c r="T11" s="11">
        <v>1049</v>
      </c>
      <c r="U11" s="11">
        <v>4045</v>
      </c>
      <c r="V11" s="11">
        <v>30783</v>
      </c>
      <c r="W11" s="11">
        <v>41610</v>
      </c>
      <c r="X11" s="11">
        <v>70225</v>
      </c>
      <c r="Y11" s="11">
        <v>56263</v>
      </c>
      <c r="Z11" s="11">
        <v>10</v>
      </c>
      <c r="AA11" s="11"/>
      <c r="AB11" s="11"/>
      <c r="AC11" s="11">
        <v>0</v>
      </c>
      <c r="AD11" s="11"/>
      <c r="AE11" s="11">
        <v>5401</v>
      </c>
      <c r="AF11" s="11">
        <v>1940</v>
      </c>
      <c r="AG11" s="11"/>
      <c r="AH11" s="11">
        <v>1234</v>
      </c>
      <c r="AI11" s="11">
        <v>389</v>
      </c>
      <c r="AJ11" s="11">
        <v>1857</v>
      </c>
      <c r="AK11" s="11">
        <v>0</v>
      </c>
      <c r="AL11" s="11"/>
      <c r="AM11" s="2">
        <f t="shared" si="0"/>
        <v>12737.375</v>
      </c>
    </row>
    <row r="12" spans="1:40">
      <c r="A12" s="28">
        <v>44470</v>
      </c>
      <c r="B12" s="11">
        <v>13937</v>
      </c>
      <c r="C12" s="11">
        <v>10989</v>
      </c>
      <c r="D12" s="11">
        <v>15858</v>
      </c>
      <c r="E12" s="11">
        <v>8298</v>
      </c>
      <c r="F12" s="13">
        <v>21632</v>
      </c>
      <c r="G12" s="11">
        <v>12185</v>
      </c>
      <c r="H12" s="11">
        <v>4749</v>
      </c>
      <c r="I12" s="11">
        <v>5104</v>
      </c>
      <c r="J12" s="11">
        <v>7350</v>
      </c>
      <c r="K12" s="11">
        <v>6401</v>
      </c>
      <c r="L12" s="11">
        <v>11580</v>
      </c>
      <c r="M12" s="11">
        <v>1580</v>
      </c>
      <c r="N12" s="11">
        <v>21495</v>
      </c>
      <c r="O12" s="13">
        <v>32202</v>
      </c>
      <c r="P12" s="11">
        <v>1952</v>
      </c>
      <c r="Q12" s="11">
        <v>3413</v>
      </c>
      <c r="R12" s="11">
        <v>7716</v>
      </c>
      <c r="S12" s="11">
        <v>3446</v>
      </c>
      <c r="T12" s="11">
        <v>959</v>
      </c>
      <c r="U12" s="11">
        <v>3799</v>
      </c>
      <c r="V12" s="11">
        <v>31349</v>
      </c>
      <c r="W12" s="11">
        <v>40857</v>
      </c>
      <c r="X12" s="11">
        <v>69184</v>
      </c>
      <c r="Y12" s="11">
        <v>53887</v>
      </c>
      <c r="Z12" s="11">
        <v>269</v>
      </c>
      <c r="AA12" s="11"/>
      <c r="AB12" s="11"/>
      <c r="AC12" s="11">
        <v>0</v>
      </c>
      <c r="AD12" s="11"/>
      <c r="AE12" s="11">
        <v>5541</v>
      </c>
      <c r="AF12" s="11">
        <v>2022</v>
      </c>
      <c r="AG12" s="11"/>
      <c r="AH12" s="11">
        <v>1304</v>
      </c>
      <c r="AI12" s="11">
        <v>567</v>
      </c>
      <c r="AJ12" s="11">
        <v>1790</v>
      </c>
      <c r="AK12" s="11">
        <v>0</v>
      </c>
      <c r="AL12" s="11">
        <v>9</v>
      </c>
      <c r="AM12" s="2">
        <f t="shared" si="0"/>
        <v>12164.363636363636</v>
      </c>
    </row>
    <row r="13" spans="1:40">
      <c r="A13" s="16">
        <v>44501</v>
      </c>
      <c r="B13" s="11">
        <v>13899</v>
      </c>
      <c r="C13" s="11">
        <v>11578</v>
      </c>
      <c r="D13" s="11">
        <v>15901</v>
      </c>
      <c r="E13" s="11">
        <v>8502</v>
      </c>
      <c r="F13" s="11">
        <v>21317</v>
      </c>
      <c r="G13" s="11">
        <v>12888</v>
      </c>
      <c r="H13" s="11">
        <v>5063</v>
      </c>
      <c r="I13" s="11">
        <v>5163</v>
      </c>
      <c r="J13" s="11">
        <v>6816</v>
      </c>
      <c r="K13" s="11">
        <v>6391</v>
      </c>
      <c r="L13" s="11">
        <v>12135</v>
      </c>
      <c r="M13" s="11">
        <v>1555</v>
      </c>
      <c r="N13" s="11">
        <v>22095</v>
      </c>
      <c r="O13" s="11">
        <v>32739</v>
      </c>
      <c r="P13" s="11">
        <v>1968</v>
      </c>
      <c r="Q13" s="11">
        <v>3447</v>
      </c>
      <c r="R13" s="11">
        <v>7625</v>
      </c>
      <c r="S13" s="11">
        <v>3427</v>
      </c>
      <c r="T13" s="11">
        <v>1148</v>
      </c>
      <c r="U13" s="11">
        <v>3709</v>
      </c>
      <c r="V13" s="11">
        <v>32703</v>
      </c>
      <c r="W13" s="11">
        <v>39952</v>
      </c>
      <c r="X13" s="11">
        <v>71336</v>
      </c>
      <c r="Y13" s="11">
        <v>57231</v>
      </c>
      <c r="Z13" s="11">
        <v>107</v>
      </c>
      <c r="AA13" s="11"/>
      <c r="AB13" s="11"/>
      <c r="AC13" s="11">
        <v>0</v>
      </c>
      <c r="AD13" s="11"/>
      <c r="AE13" s="11">
        <v>5562</v>
      </c>
      <c r="AF13" s="11">
        <v>1843</v>
      </c>
      <c r="AG13" s="11"/>
      <c r="AH13" s="11">
        <v>1319</v>
      </c>
      <c r="AI13" s="11">
        <v>560</v>
      </c>
      <c r="AJ13" s="13">
        <v>2426</v>
      </c>
      <c r="AK13" s="11">
        <v>0</v>
      </c>
      <c r="AL13" s="11">
        <v>43</v>
      </c>
      <c r="AM13" s="2">
        <f t="shared" si="0"/>
        <v>12437.818181818182</v>
      </c>
    </row>
    <row r="14" spans="1:40">
      <c r="A14" s="16">
        <v>44531</v>
      </c>
      <c r="B14" s="11">
        <v>13077</v>
      </c>
      <c r="C14" s="11">
        <v>10813</v>
      </c>
      <c r="D14" s="11">
        <v>14275</v>
      </c>
      <c r="E14" s="11">
        <v>7860</v>
      </c>
      <c r="F14" s="11">
        <v>19145</v>
      </c>
      <c r="G14" s="11">
        <v>14585</v>
      </c>
      <c r="H14" s="11">
        <v>5059</v>
      </c>
      <c r="I14" s="11">
        <v>5279</v>
      </c>
      <c r="J14" s="11">
        <v>6904</v>
      </c>
      <c r="K14" s="11">
        <v>6198</v>
      </c>
      <c r="L14" s="11">
        <v>10713</v>
      </c>
      <c r="M14" s="11">
        <v>1266</v>
      </c>
      <c r="N14" s="11">
        <v>21606</v>
      </c>
      <c r="O14" s="11">
        <v>32083</v>
      </c>
      <c r="P14" s="11">
        <v>1612</v>
      </c>
      <c r="Q14" s="11">
        <v>3338</v>
      </c>
      <c r="R14" s="11">
        <v>7463</v>
      </c>
      <c r="S14" s="11">
        <v>4095</v>
      </c>
      <c r="T14" s="11">
        <v>858</v>
      </c>
      <c r="U14" s="11">
        <v>3922</v>
      </c>
      <c r="V14" s="11">
        <v>31933</v>
      </c>
      <c r="W14" s="11">
        <v>40676</v>
      </c>
      <c r="X14" s="11">
        <v>70145</v>
      </c>
      <c r="Y14" s="11">
        <v>56589</v>
      </c>
      <c r="Z14" s="11">
        <v>121</v>
      </c>
      <c r="AA14" s="11"/>
      <c r="AB14" s="11"/>
      <c r="AC14" s="11">
        <v>0</v>
      </c>
      <c r="AD14" s="11"/>
      <c r="AE14" s="11">
        <v>5793</v>
      </c>
      <c r="AF14" s="11">
        <v>1929</v>
      </c>
      <c r="AG14" s="11"/>
      <c r="AH14" s="11">
        <v>1075</v>
      </c>
      <c r="AI14" s="11">
        <v>577</v>
      </c>
      <c r="AJ14" s="11">
        <v>1615</v>
      </c>
      <c r="AK14" s="11">
        <v>0</v>
      </c>
      <c r="AL14" s="11">
        <v>47</v>
      </c>
      <c r="AM14" s="2">
        <f t="shared" si="0"/>
        <v>12140.939393939394</v>
      </c>
    </row>
    <row r="15" spans="1:40">
      <c r="A15" s="16">
        <v>44562</v>
      </c>
      <c r="B15" s="11">
        <v>11911</v>
      </c>
      <c r="C15" s="11">
        <v>10063</v>
      </c>
      <c r="D15" s="11">
        <v>13105</v>
      </c>
      <c r="E15" s="11">
        <v>7034</v>
      </c>
      <c r="F15" s="11">
        <v>18175</v>
      </c>
      <c r="G15" s="11">
        <v>12173</v>
      </c>
      <c r="H15" s="11">
        <v>4441</v>
      </c>
      <c r="I15" s="11">
        <v>4618</v>
      </c>
      <c r="J15" s="11">
        <v>6050</v>
      </c>
      <c r="K15" s="11">
        <v>5156</v>
      </c>
      <c r="L15" s="11">
        <v>9699</v>
      </c>
      <c r="M15" s="11">
        <v>1110</v>
      </c>
      <c r="N15" s="11">
        <v>19440</v>
      </c>
      <c r="O15" s="11">
        <v>32660</v>
      </c>
      <c r="P15" s="11">
        <v>1705</v>
      </c>
      <c r="Q15" s="11">
        <v>2964</v>
      </c>
      <c r="R15" s="11">
        <v>6470</v>
      </c>
      <c r="S15" s="11">
        <v>2699</v>
      </c>
      <c r="T15" s="11">
        <v>898</v>
      </c>
      <c r="U15" s="11">
        <v>3261</v>
      </c>
      <c r="V15" s="11">
        <v>28367</v>
      </c>
      <c r="W15" s="11">
        <v>34594</v>
      </c>
      <c r="X15" s="11">
        <v>59488</v>
      </c>
      <c r="Y15" s="11">
        <v>49928</v>
      </c>
      <c r="Z15" s="11">
        <v>67</v>
      </c>
      <c r="AA15" s="11"/>
      <c r="AB15" s="11"/>
      <c r="AC15" s="11">
        <v>0</v>
      </c>
      <c r="AD15" s="11"/>
      <c r="AE15" s="11">
        <v>4515</v>
      </c>
      <c r="AF15" s="11">
        <v>1661</v>
      </c>
      <c r="AG15" s="11"/>
      <c r="AH15" s="11">
        <v>1019</v>
      </c>
      <c r="AI15" s="11">
        <v>471</v>
      </c>
      <c r="AJ15" s="11">
        <v>1558</v>
      </c>
      <c r="AK15" s="11">
        <v>0</v>
      </c>
      <c r="AL15" s="11">
        <v>9</v>
      </c>
      <c r="AM15" s="2">
        <f t="shared" si="0"/>
        <v>10766.939393939394</v>
      </c>
    </row>
    <row r="16" spans="1:40">
      <c r="A16" s="16">
        <v>44593</v>
      </c>
      <c r="B16" s="11">
        <v>13091</v>
      </c>
      <c r="C16" s="11">
        <v>10583</v>
      </c>
      <c r="D16" s="11">
        <v>14612</v>
      </c>
      <c r="E16" s="11">
        <v>7141</v>
      </c>
      <c r="F16" s="11">
        <v>20088</v>
      </c>
      <c r="G16" s="11">
        <v>13489</v>
      </c>
      <c r="H16" s="11">
        <v>4839</v>
      </c>
      <c r="I16" s="11">
        <v>4857</v>
      </c>
      <c r="J16" s="11">
        <v>6643</v>
      </c>
      <c r="K16" s="11">
        <v>5422</v>
      </c>
      <c r="L16" s="11">
        <v>11127</v>
      </c>
      <c r="M16" s="11">
        <v>1355</v>
      </c>
      <c r="N16" s="11">
        <v>20320</v>
      </c>
      <c r="O16" s="11">
        <v>32766</v>
      </c>
      <c r="P16" s="11">
        <v>2185</v>
      </c>
      <c r="Q16" s="11">
        <v>2907</v>
      </c>
      <c r="R16" s="11">
        <v>6810</v>
      </c>
      <c r="S16" s="11">
        <v>2780</v>
      </c>
      <c r="T16" s="11">
        <v>1123</v>
      </c>
      <c r="U16" s="11">
        <v>3496</v>
      </c>
      <c r="V16" s="11">
        <v>29644</v>
      </c>
      <c r="W16" s="11">
        <v>37396</v>
      </c>
      <c r="X16" s="11">
        <v>63055</v>
      </c>
      <c r="Y16" s="11">
        <v>54474</v>
      </c>
      <c r="Z16" s="11">
        <v>130</v>
      </c>
      <c r="AA16" s="11"/>
      <c r="AB16" s="11"/>
      <c r="AC16" s="11">
        <v>0</v>
      </c>
      <c r="AD16" s="11"/>
      <c r="AE16" s="11">
        <v>5024</v>
      </c>
      <c r="AF16" s="11">
        <v>1911</v>
      </c>
      <c r="AG16" s="11"/>
      <c r="AH16" s="11">
        <v>1342</v>
      </c>
      <c r="AI16" s="11">
        <v>447</v>
      </c>
      <c r="AJ16" s="11">
        <v>2301</v>
      </c>
      <c r="AK16" s="11">
        <v>0</v>
      </c>
      <c r="AL16" s="11">
        <v>19</v>
      </c>
      <c r="AM16" s="2">
        <f t="shared" si="0"/>
        <v>11556.878787878788</v>
      </c>
    </row>
    <row r="17" spans="1:39">
      <c r="A17" s="16">
        <v>44621</v>
      </c>
      <c r="B17" s="11">
        <v>15494</v>
      </c>
      <c r="C17" s="11">
        <v>12138</v>
      </c>
      <c r="D17" s="11">
        <v>18542</v>
      </c>
      <c r="E17" s="11">
        <v>9972</v>
      </c>
      <c r="F17" s="11">
        <v>25207</v>
      </c>
      <c r="G17" s="11">
        <v>15535</v>
      </c>
      <c r="H17" s="11">
        <v>5718</v>
      </c>
      <c r="I17" s="11">
        <v>6095</v>
      </c>
      <c r="J17" s="11">
        <v>7730</v>
      </c>
      <c r="K17" s="11">
        <v>7761</v>
      </c>
      <c r="L17" s="11">
        <v>12886</v>
      </c>
      <c r="M17" s="11">
        <v>1611</v>
      </c>
      <c r="N17" s="11">
        <v>24347</v>
      </c>
      <c r="O17" s="11">
        <v>37299</v>
      </c>
      <c r="P17" s="11">
        <v>2376</v>
      </c>
      <c r="Q17" s="11">
        <v>3520</v>
      </c>
      <c r="R17" s="11">
        <v>8380</v>
      </c>
      <c r="S17" s="11">
        <v>4605</v>
      </c>
      <c r="T17" s="11">
        <v>1296</v>
      </c>
      <c r="U17" s="11">
        <v>4399</v>
      </c>
      <c r="V17" s="11">
        <v>35789</v>
      </c>
      <c r="W17" s="11">
        <v>48192</v>
      </c>
      <c r="X17" s="11">
        <v>80338</v>
      </c>
      <c r="Y17" s="11">
        <v>65253</v>
      </c>
      <c r="Z17" s="11">
        <v>249</v>
      </c>
      <c r="AA17" s="11"/>
      <c r="AB17" s="11"/>
      <c r="AC17" s="11">
        <v>0</v>
      </c>
      <c r="AD17" s="11"/>
      <c r="AE17" s="11">
        <v>5810</v>
      </c>
      <c r="AF17" s="11">
        <v>2227</v>
      </c>
      <c r="AG17" s="11"/>
      <c r="AH17" s="11">
        <v>1716</v>
      </c>
      <c r="AI17" s="11">
        <v>559</v>
      </c>
      <c r="AJ17" s="11">
        <v>2473</v>
      </c>
      <c r="AK17" s="11">
        <v>0</v>
      </c>
      <c r="AL17" s="11">
        <v>38</v>
      </c>
      <c r="AM17" s="2">
        <f t="shared" si="0"/>
        <v>14168.333333333334</v>
      </c>
    </row>
    <row r="18" spans="1:39">
      <c r="A18" s="28">
        <v>44652</v>
      </c>
      <c r="B18" s="11">
        <v>31739</v>
      </c>
      <c r="C18" s="11">
        <v>12358</v>
      </c>
      <c r="D18" s="11">
        <v>1382</v>
      </c>
      <c r="E18" s="11">
        <v>9543</v>
      </c>
      <c r="F18" s="11">
        <v>23615</v>
      </c>
      <c r="G18" s="11">
        <v>13461</v>
      </c>
      <c r="H18" s="11">
        <v>5774</v>
      </c>
      <c r="I18" s="11">
        <v>5995</v>
      </c>
      <c r="J18" s="11">
        <v>8799</v>
      </c>
      <c r="K18" s="11">
        <v>7431</v>
      </c>
      <c r="L18" s="11">
        <v>11511</v>
      </c>
      <c r="M18" s="11">
        <v>82</v>
      </c>
      <c r="N18" s="11">
        <v>22256</v>
      </c>
      <c r="O18" s="11">
        <v>34252</v>
      </c>
      <c r="P18" s="11">
        <v>76</v>
      </c>
      <c r="Q18" s="11">
        <v>3696</v>
      </c>
      <c r="R18" s="11">
        <v>7793</v>
      </c>
      <c r="S18" s="11">
        <v>4408</v>
      </c>
      <c r="T18" s="11">
        <v>1217</v>
      </c>
      <c r="U18" s="11">
        <v>4404</v>
      </c>
      <c r="V18" s="11">
        <v>33037</v>
      </c>
      <c r="W18" s="11">
        <v>45836</v>
      </c>
      <c r="X18" s="11">
        <v>75912</v>
      </c>
      <c r="Y18" s="11">
        <v>60139</v>
      </c>
      <c r="Z18" s="11">
        <v>235</v>
      </c>
      <c r="AA18" s="11"/>
      <c r="AB18" s="11"/>
      <c r="AC18" s="11">
        <v>0</v>
      </c>
      <c r="AD18" s="11">
        <v>1920</v>
      </c>
      <c r="AE18" s="11">
        <v>5036</v>
      </c>
      <c r="AF18" s="11">
        <v>3462</v>
      </c>
      <c r="AG18" s="11">
        <v>1069</v>
      </c>
      <c r="AH18" s="11">
        <v>1673</v>
      </c>
      <c r="AI18" s="11">
        <v>585</v>
      </c>
      <c r="AJ18" s="11">
        <v>2692</v>
      </c>
      <c r="AK18" s="11">
        <v>0</v>
      </c>
      <c r="AL18" s="11">
        <v>28</v>
      </c>
      <c r="AM18" s="2">
        <f t="shared" si="0"/>
        <v>12611.885714285714</v>
      </c>
    </row>
    <row r="19" spans="1:39">
      <c r="A19" s="16">
        <v>44682</v>
      </c>
      <c r="B19" s="11">
        <v>33732</v>
      </c>
      <c r="C19" s="11">
        <v>13059</v>
      </c>
      <c r="D19" s="11">
        <v>0</v>
      </c>
      <c r="E19" s="11">
        <v>10163</v>
      </c>
      <c r="F19" s="11">
        <v>23841</v>
      </c>
      <c r="G19" s="11">
        <v>14557</v>
      </c>
      <c r="H19" s="11">
        <v>5965</v>
      </c>
      <c r="I19" s="11">
        <v>5961</v>
      </c>
      <c r="J19" s="11">
        <v>8850</v>
      </c>
      <c r="K19" s="11">
        <v>7887</v>
      </c>
      <c r="L19" s="11">
        <v>12775</v>
      </c>
      <c r="M19" s="11">
        <v>0</v>
      </c>
      <c r="N19" s="11">
        <v>24312</v>
      </c>
      <c r="O19" s="11">
        <v>36798</v>
      </c>
      <c r="P19" s="11">
        <v>0</v>
      </c>
      <c r="Q19" s="11">
        <v>4349</v>
      </c>
      <c r="R19" s="11">
        <v>8428</v>
      </c>
      <c r="S19" s="11">
        <v>4728</v>
      </c>
      <c r="T19" s="11">
        <v>1059</v>
      </c>
      <c r="U19" s="11">
        <v>4768</v>
      </c>
      <c r="V19" s="11">
        <v>36832</v>
      </c>
      <c r="W19" s="11">
        <v>50829</v>
      </c>
      <c r="X19" s="11">
        <v>83894</v>
      </c>
      <c r="Y19" s="11">
        <v>64499</v>
      </c>
      <c r="Z19" s="11">
        <v>281</v>
      </c>
      <c r="AA19" s="11"/>
      <c r="AB19" s="11"/>
      <c r="AC19" s="11">
        <v>0</v>
      </c>
      <c r="AD19" s="11">
        <v>1747</v>
      </c>
      <c r="AE19" s="11">
        <v>5659</v>
      </c>
      <c r="AF19" s="11">
        <v>3663</v>
      </c>
      <c r="AG19" s="11">
        <v>2026</v>
      </c>
      <c r="AH19" s="11">
        <v>1779</v>
      </c>
      <c r="AI19" s="11">
        <v>516</v>
      </c>
      <c r="AJ19" s="11">
        <v>2448</v>
      </c>
      <c r="AK19" s="11">
        <v>0</v>
      </c>
      <c r="AL19" s="11">
        <v>41</v>
      </c>
      <c r="AM19" s="2">
        <f t="shared" si="0"/>
        <v>13584.171428571428</v>
      </c>
    </row>
    <row r="20" spans="1:39">
      <c r="A20" s="16">
        <v>44713</v>
      </c>
      <c r="B20" s="11">
        <v>32371</v>
      </c>
      <c r="C20" s="11">
        <v>11712</v>
      </c>
      <c r="D20" s="11">
        <v>0</v>
      </c>
      <c r="E20" s="11">
        <v>9675</v>
      </c>
      <c r="F20" s="11">
        <v>22689</v>
      </c>
      <c r="G20" s="11">
        <v>14686</v>
      </c>
      <c r="H20" s="11">
        <v>5853</v>
      </c>
      <c r="I20" s="11">
        <v>5484</v>
      </c>
      <c r="J20" s="11">
        <v>8552</v>
      </c>
      <c r="K20" s="11">
        <v>8595</v>
      </c>
      <c r="L20" s="11">
        <v>12346</v>
      </c>
      <c r="M20" s="11">
        <v>0</v>
      </c>
      <c r="N20" s="11">
        <v>22852</v>
      </c>
      <c r="O20" s="11">
        <v>34946</v>
      </c>
      <c r="P20" s="11">
        <v>0</v>
      </c>
      <c r="Q20" s="11">
        <v>4493</v>
      </c>
      <c r="R20" s="11">
        <v>9057</v>
      </c>
      <c r="S20" s="11">
        <v>5893</v>
      </c>
      <c r="T20" s="11">
        <v>766</v>
      </c>
      <c r="U20" s="11">
        <v>4569</v>
      </c>
      <c r="V20" s="11">
        <v>33092</v>
      </c>
      <c r="W20" s="11">
        <v>50170</v>
      </c>
      <c r="X20" s="11">
        <v>81565</v>
      </c>
      <c r="Y20" s="11">
        <v>59631</v>
      </c>
      <c r="Z20" s="11">
        <v>250</v>
      </c>
      <c r="AA20" s="11"/>
      <c r="AB20" s="11"/>
      <c r="AC20" s="11">
        <v>0</v>
      </c>
      <c r="AD20" s="11">
        <v>1707</v>
      </c>
      <c r="AE20" s="11">
        <v>5472</v>
      </c>
      <c r="AF20" s="11">
        <v>4127</v>
      </c>
      <c r="AG20" s="11">
        <v>2568</v>
      </c>
      <c r="AH20" s="11">
        <v>1807</v>
      </c>
      <c r="AI20" s="11">
        <v>499</v>
      </c>
      <c r="AJ20" s="11">
        <v>2197</v>
      </c>
      <c r="AK20" s="11">
        <v>0</v>
      </c>
      <c r="AL20" s="11">
        <v>25</v>
      </c>
      <c r="AM20" s="2">
        <f t="shared" si="0"/>
        <v>13075.685714285713</v>
      </c>
    </row>
    <row r="21" spans="1:39">
      <c r="A21" s="16">
        <v>44743</v>
      </c>
      <c r="B21" s="11">
        <v>32102</v>
      </c>
      <c r="C21" s="11">
        <v>11147</v>
      </c>
      <c r="D21" s="11">
        <v>0</v>
      </c>
      <c r="E21" s="11">
        <v>9430</v>
      </c>
      <c r="F21" s="11">
        <v>21978</v>
      </c>
      <c r="G21" s="11">
        <v>14364</v>
      </c>
      <c r="H21" s="11">
        <v>5784</v>
      </c>
      <c r="I21" s="11">
        <v>4823</v>
      </c>
      <c r="J21" s="11">
        <v>8171</v>
      </c>
      <c r="K21" s="11">
        <v>8241</v>
      </c>
      <c r="L21" s="11">
        <v>11914</v>
      </c>
      <c r="M21" s="11">
        <v>0</v>
      </c>
      <c r="N21" s="11">
        <v>22860</v>
      </c>
      <c r="O21" s="11">
        <v>33765</v>
      </c>
      <c r="P21" s="11">
        <v>0</v>
      </c>
      <c r="Q21" s="11">
        <v>3904</v>
      </c>
      <c r="R21" s="11">
        <v>8399</v>
      </c>
      <c r="S21" s="11">
        <v>5231</v>
      </c>
      <c r="T21" s="11">
        <v>657</v>
      </c>
      <c r="U21" s="11">
        <v>4341</v>
      </c>
      <c r="V21" s="11">
        <v>31095</v>
      </c>
      <c r="W21" s="11">
        <v>48649</v>
      </c>
      <c r="X21" s="11">
        <v>80342</v>
      </c>
      <c r="Y21" s="11">
        <v>56316</v>
      </c>
      <c r="Z21" s="11">
        <v>246</v>
      </c>
      <c r="AA21" s="11"/>
      <c r="AB21" s="11"/>
      <c r="AC21" s="11">
        <v>0</v>
      </c>
      <c r="AD21" s="11">
        <v>1391</v>
      </c>
      <c r="AE21" s="11">
        <v>4679</v>
      </c>
      <c r="AF21" s="11">
        <v>4062</v>
      </c>
      <c r="AG21" s="11">
        <v>2301</v>
      </c>
      <c r="AH21" s="11">
        <v>1621</v>
      </c>
      <c r="AI21" s="11">
        <v>508</v>
      </c>
      <c r="AJ21" s="11">
        <v>1987</v>
      </c>
      <c r="AK21" s="11">
        <v>0</v>
      </c>
      <c r="AL21" s="11">
        <v>34</v>
      </c>
      <c r="AM21" s="2">
        <f t="shared" si="0"/>
        <v>12581.2</v>
      </c>
    </row>
    <row r="22" spans="1:39">
      <c r="A22" s="16">
        <v>44774</v>
      </c>
      <c r="B22" s="11">
        <v>43177</v>
      </c>
      <c r="C22" s="11">
        <v>16163</v>
      </c>
      <c r="D22" s="11">
        <v>0</v>
      </c>
      <c r="E22" s="11">
        <v>12909</v>
      </c>
      <c r="F22" s="11">
        <v>30036</v>
      </c>
      <c r="G22" s="11">
        <v>17969</v>
      </c>
      <c r="H22" s="11">
        <v>7511</v>
      </c>
      <c r="I22" s="11">
        <v>5840</v>
      </c>
      <c r="J22" s="11">
        <v>10870</v>
      </c>
      <c r="K22" s="11">
        <v>9637</v>
      </c>
      <c r="L22" s="11">
        <v>16320</v>
      </c>
      <c r="M22" s="11">
        <v>0</v>
      </c>
      <c r="N22" s="11">
        <v>28400</v>
      </c>
      <c r="O22" s="11">
        <v>43887</v>
      </c>
      <c r="P22" s="11">
        <v>0</v>
      </c>
      <c r="Q22" s="11">
        <v>5161</v>
      </c>
      <c r="R22" s="11">
        <v>10804</v>
      </c>
      <c r="S22" s="11">
        <v>5873</v>
      </c>
      <c r="T22" s="11">
        <v>1329</v>
      </c>
      <c r="U22" s="11">
        <v>5673</v>
      </c>
      <c r="V22" s="11">
        <v>43305</v>
      </c>
      <c r="W22" s="11">
        <v>58176</v>
      </c>
      <c r="X22" s="11">
        <v>99477</v>
      </c>
      <c r="Y22" s="11">
        <v>75453</v>
      </c>
      <c r="Z22" s="11">
        <v>270</v>
      </c>
      <c r="AA22" s="11"/>
      <c r="AB22" s="11"/>
      <c r="AC22" s="11">
        <v>0</v>
      </c>
      <c r="AD22" s="11">
        <v>2099</v>
      </c>
      <c r="AE22" s="11">
        <v>6042</v>
      </c>
      <c r="AF22" s="11">
        <v>5143</v>
      </c>
      <c r="AG22" s="11">
        <v>3321</v>
      </c>
      <c r="AH22" s="11">
        <v>2036</v>
      </c>
      <c r="AI22" s="11">
        <v>652</v>
      </c>
      <c r="AJ22" s="11">
        <v>2982</v>
      </c>
      <c r="AK22" s="11">
        <v>0</v>
      </c>
      <c r="AL22" s="11">
        <v>68</v>
      </c>
      <c r="AM22" s="2">
        <f t="shared" si="0"/>
        <v>16302.371428571429</v>
      </c>
    </row>
    <row r="23" spans="1:39">
      <c r="A23" s="16">
        <v>44805</v>
      </c>
      <c r="B23" s="11">
        <v>43540</v>
      </c>
      <c r="C23" s="11">
        <v>16047</v>
      </c>
      <c r="D23" s="11">
        <v>0</v>
      </c>
      <c r="E23" s="11">
        <v>13141</v>
      </c>
      <c r="F23" s="11">
        <v>30907</v>
      </c>
      <c r="G23" s="11">
        <v>16805</v>
      </c>
      <c r="H23" s="11">
        <v>7217</v>
      </c>
      <c r="I23" s="11">
        <v>6238</v>
      </c>
      <c r="J23" s="11">
        <v>11501</v>
      </c>
      <c r="K23" s="11">
        <v>9916</v>
      </c>
      <c r="L23" s="11">
        <v>16406</v>
      </c>
      <c r="M23" s="11">
        <v>0</v>
      </c>
      <c r="N23" s="11">
        <v>27126</v>
      </c>
      <c r="O23" s="11">
        <v>42574</v>
      </c>
      <c r="P23" s="11">
        <v>0</v>
      </c>
      <c r="Q23" s="11">
        <v>4987</v>
      </c>
      <c r="R23" s="11">
        <v>11407</v>
      </c>
      <c r="S23" s="11">
        <v>5240</v>
      </c>
      <c r="T23" s="11">
        <v>1209</v>
      </c>
      <c r="U23" s="11">
        <v>5482</v>
      </c>
      <c r="V23" s="11">
        <v>43727</v>
      </c>
      <c r="W23" s="11">
        <v>57352</v>
      </c>
      <c r="X23" s="11">
        <v>98176</v>
      </c>
      <c r="Y23" s="11">
        <v>75142</v>
      </c>
      <c r="Z23" s="11">
        <v>244</v>
      </c>
      <c r="AA23" s="11"/>
      <c r="AB23" s="11"/>
      <c r="AC23" s="11">
        <v>0</v>
      </c>
      <c r="AD23" s="11">
        <v>2643</v>
      </c>
      <c r="AE23" s="11">
        <v>6001</v>
      </c>
      <c r="AF23" s="11">
        <v>5235</v>
      </c>
      <c r="AG23" s="11">
        <v>3523</v>
      </c>
      <c r="AH23" s="11">
        <v>2115</v>
      </c>
      <c r="AI23" s="11">
        <v>557</v>
      </c>
      <c r="AJ23" s="11">
        <v>2887</v>
      </c>
      <c r="AK23" s="11">
        <v>0</v>
      </c>
      <c r="AL23" s="11">
        <v>60</v>
      </c>
      <c r="AM23" s="2">
        <f t="shared" si="0"/>
        <v>16211.571428571429</v>
      </c>
    </row>
    <row r="24" spans="1:39">
      <c r="A24" s="16">
        <v>44835</v>
      </c>
      <c r="B24" s="11">
        <v>40625</v>
      </c>
      <c r="C24" s="11">
        <v>14717</v>
      </c>
      <c r="D24" s="11">
        <v>0</v>
      </c>
      <c r="E24" s="11">
        <v>12209</v>
      </c>
      <c r="F24" s="11">
        <v>28863</v>
      </c>
      <c r="G24" s="11">
        <v>16545</v>
      </c>
      <c r="H24" s="11">
        <v>6799</v>
      </c>
      <c r="I24" s="11">
        <v>5666</v>
      </c>
      <c r="J24" s="11">
        <v>10825</v>
      </c>
      <c r="K24" s="11">
        <v>9542</v>
      </c>
      <c r="L24" s="11">
        <v>14643</v>
      </c>
      <c r="M24" s="11">
        <v>0</v>
      </c>
      <c r="N24" s="11">
        <v>24968</v>
      </c>
      <c r="O24" s="11">
        <v>41328</v>
      </c>
      <c r="P24" s="11">
        <v>0</v>
      </c>
      <c r="Q24" s="11">
        <v>5282</v>
      </c>
      <c r="R24" s="11">
        <v>10497</v>
      </c>
      <c r="S24" s="11">
        <v>5907</v>
      </c>
      <c r="T24" s="11">
        <v>1109</v>
      </c>
      <c r="U24" s="11">
        <v>4987</v>
      </c>
      <c r="V24" s="11">
        <v>39062</v>
      </c>
      <c r="W24" s="11">
        <v>54996</v>
      </c>
      <c r="X24" s="11">
        <v>90391</v>
      </c>
      <c r="Y24" s="11">
        <v>69446</v>
      </c>
      <c r="Z24" s="11">
        <v>311</v>
      </c>
      <c r="AA24" s="11"/>
      <c r="AB24" s="11"/>
      <c r="AC24" s="11">
        <v>0</v>
      </c>
      <c r="AD24" s="11">
        <v>2301</v>
      </c>
      <c r="AE24" s="11">
        <v>5700</v>
      </c>
      <c r="AF24" s="11">
        <v>4857</v>
      </c>
      <c r="AG24" s="11">
        <v>3211</v>
      </c>
      <c r="AH24" s="11">
        <v>2240</v>
      </c>
      <c r="AI24" s="11">
        <v>580</v>
      </c>
      <c r="AJ24" s="11">
        <v>2261</v>
      </c>
      <c r="AK24" s="11">
        <v>0</v>
      </c>
      <c r="AL24" s="11">
        <v>124</v>
      </c>
      <c r="AM24" s="2">
        <f t="shared" si="0"/>
        <v>15142.628571428571</v>
      </c>
    </row>
    <row r="25" spans="1:39">
      <c r="A25" s="28">
        <v>44866</v>
      </c>
      <c r="B25" s="11">
        <v>38973</v>
      </c>
      <c r="C25" s="11">
        <v>14141</v>
      </c>
      <c r="D25" s="11">
        <v>0</v>
      </c>
      <c r="E25" s="11">
        <v>11688</v>
      </c>
      <c r="F25" s="11">
        <v>26969</v>
      </c>
      <c r="G25" s="11">
        <v>16305</v>
      </c>
      <c r="H25" s="11">
        <v>6706</v>
      </c>
      <c r="I25" s="11">
        <v>5418</v>
      </c>
      <c r="J25" s="11">
        <v>10498</v>
      </c>
      <c r="K25" s="11">
        <v>8865</v>
      </c>
      <c r="L25" s="11">
        <v>14185</v>
      </c>
      <c r="M25" s="11">
        <v>0</v>
      </c>
      <c r="N25" s="11">
        <v>25032</v>
      </c>
      <c r="O25" s="11">
        <v>40146</v>
      </c>
      <c r="P25" s="11">
        <v>0</v>
      </c>
      <c r="Q25" s="11">
        <v>5189</v>
      </c>
      <c r="R25" s="11">
        <v>10198</v>
      </c>
      <c r="S25" s="11">
        <v>5696</v>
      </c>
      <c r="T25" s="11">
        <v>1090</v>
      </c>
      <c r="U25" s="11">
        <v>4948</v>
      </c>
      <c r="V25" s="11">
        <v>38838</v>
      </c>
      <c r="W25" s="11">
        <v>52142</v>
      </c>
      <c r="X25" s="11">
        <v>89788</v>
      </c>
      <c r="Y25" s="11">
        <v>69500</v>
      </c>
      <c r="Z25" s="11">
        <v>308</v>
      </c>
      <c r="AA25" s="11"/>
      <c r="AB25" s="11"/>
      <c r="AC25" s="11">
        <v>0</v>
      </c>
      <c r="AD25" s="11">
        <v>2046</v>
      </c>
      <c r="AE25" s="11">
        <v>5520</v>
      </c>
      <c r="AF25" s="11">
        <v>4649</v>
      </c>
      <c r="AG25" s="11">
        <v>3120</v>
      </c>
      <c r="AH25" s="11">
        <v>2124</v>
      </c>
      <c r="AI25" s="11">
        <v>649</v>
      </c>
      <c r="AJ25" s="11">
        <v>2320</v>
      </c>
      <c r="AK25" s="11">
        <v>0</v>
      </c>
      <c r="AL25" s="11">
        <v>221</v>
      </c>
      <c r="AM25" s="2">
        <f t="shared" si="0"/>
        <v>14779.2</v>
      </c>
    </row>
    <row r="26" spans="1:39">
      <c r="A26" s="16">
        <v>44896</v>
      </c>
      <c r="B26" s="11">
        <v>32933</v>
      </c>
      <c r="C26" s="11">
        <v>12688</v>
      </c>
      <c r="D26" s="11">
        <v>0</v>
      </c>
      <c r="E26" s="11">
        <v>10352</v>
      </c>
      <c r="F26" s="11">
        <v>23523</v>
      </c>
      <c r="G26" s="11">
        <v>15998</v>
      </c>
      <c r="H26" s="11">
        <v>6475</v>
      </c>
      <c r="I26" s="11">
        <v>4806</v>
      </c>
      <c r="J26" s="11">
        <v>8644</v>
      </c>
      <c r="K26" s="11">
        <v>7701</v>
      </c>
      <c r="L26" s="11">
        <v>12335</v>
      </c>
      <c r="M26" s="11">
        <v>0</v>
      </c>
      <c r="N26" s="11">
        <v>23132</v>
      </c>
      <c r="O26" s="11">
        <v>38225</v>
      </c>
      <c r="P26" s="11">
        <v>0</v>
      </c>
      <c r="Q26" s="11">
        <v>4693</v>
      </c>
      <c r="R26" s="11">
        <v>8830</v>
      </c>
      <c r="S26" s="11">
        <v>6132</v>
      </c>
      <c r="T26" s="11">
        <v>980</v>
      </c>
      <c r="U26" s="11">
        <v>4583</v>
      </c>
      <c r="V26" s="11">
        <v>34808</v>
      </c>
      <c r="W26" s="11">
        <v>49604</v>
      </c>
      <c r="X26" s="11">
        <v>79093</v>
      </c>
      <c r="Y26" s="11">
        <v>63588</v>
      </c>
      <c r="Z26" s="11">
        <v>219</v>
      </c>
      <c r="AA26" s="11"/>
      <c r="AB26" s="11"/>
      <c r="AC26" s="11">
        <v>0</v>
      </c>
      <c r="AD26" s="11">
        <v>1230</v>
      </c>
      <c r="AE26" s="11">
        <v>5069</v>
      </c>
      <c r="AF26" s="11">
        <v>4102</v>
      </c>
      <c r="AG26" s="11">
        <v>2905</v>
      </c>
      <c r="AH26" s="11">
        <v>1665</v>
      </c>
      <c r="AI26" s="11">
        <v>396</v>
      </c>
      <c r="AJ26" s="11">
        <v>1816</v>
      </c>
      <c r="AK26" s="11">
        <v>0</v>
      </c>
      <c r="AL26" s="11">
        <v>229</v>
      </c>
      <c r="AM26" s="2">
        <f t="shared" si="0"/>
        <v>13335.828571428572</v>
      </c>
    </row>
    <row r="27" spans="1:39">
      <c r="A27" s="16">
        <v>44927</v>
      </c>
      <c r="B27" s="3">
        <v>34982</v>
      </c>
      <c r="C27" s="3">
        <v>12389</v>
      </c>
      <c r="D27" s="3"/>
      <c r="E27" s="3">
        <v>11912</v>
      </c>
      <c r="F27" s="3">
        <v>25460</v>
      </c>
      <c r="G27" s="3">
        <v>15484</v>
      </c>
      <c r="H27" s="3">
        <v>6068</v>
      </c>
      <c r="I27" s="3">
        <v>4940</v>
      </c>
      <c r="J27" s="3">
        <v>9387</v>
      </c>
      <c r="K27" s="3">
        <v>7246</v>
      </c>
      <c r="L27" s="3">
        <v>13019</v>
      </c>
      <c r="M27" s="3"/>
      <c r="N27" s="3">
        <v>23268</v>
      </c>
      <c r="O27" s="3">
        <v>37016</v>
      </c>
      <c r="P27" s="3"/>
      <c r="Q27" s="3">
        <v>4622</v>
      </c>
      <c r="R27" s="3">
        <v>9389</v>
      </c>
      <c r="S27" s="3">
        <v>4460</v>
      </c>
      <c r="T27" s="3">
        <v>1044</v>
      </c>
      <c r="U27" s="3">
        <v>4400</v>
      </c>
      <c r="V27" s="3">
        <v>35454</v>
      </c>
      <c r="W27" s="3">
        <v>48858</v>
      </c>
      <c r="X27" s="3">
        <v>79931</v>
      </c>
      <c r="Y27" s="3">
        <v>64024</v>
      </c>
      <c r="Z27" s="3">
        <v>339</v>
      </c>
      <c r="AA27" s="3"/>
      <c r="AB27" s="3"/>
      <c r="AC27" s="3"/>
      <c r="AD27" s="3">
        <v>1694</v>
      </c>
      <c r="AE27" s="3">
        <v>4904</v>
      </c>
      <c r="AF27" s="3">
        <v>4123</v>
      </c>
      <c r="AG27" s="3">
        <v>3070</v>
      </c>
      <c r="AH27" s="3">
        <v>1966</v>
      </c>
      <c r="AI27" s="3">
        <v>544</v>
      </c>
      <c r="AJ27" s="3">
        <v>2247</v>
      </c>
      <c r="AK27" s="3"/>
      <c r="AL27" s="3"/>
      <c r="AM27" s="2">
        <f t="shared" si="0"/>
        <v>16284.137931034482</v>
      </c>
    </row>
    <row r="28" spans="1:39">
      <c r="A28" s="16">
        <v>44958</v>
      </c>
      <c r="B28" s="3">
        <v>36626</v>
      </c>
      <c r="C28" s="3">
        <v>13097</v>
      </c>
      <c r="D28" s="3"/>
      <c r="E28" s="3">
        <v>12582</v>
      </c>
      <c r="F28" s="3">
        <v>26343</v>
      </c>
      <c r="G28" s="3">
        <v>16757</v>
      </c>
      <c r="H28" s="3">
        <v>6145</v>
      </c>
      <c r="I28" s="3">
        <v>5002</v>
      </c>
      <c r="J28" s="3">
        <v>9552</v>
      </c>
      <c r="K28" s="3">
        <v>7964</v>
      </c>
      <c r="L28" s="3">
        <v>14124</v>
      </c>
      <c r="M28" s="3"/>
      <c r="N28" s="3">
        <v>23367</v>
      </c>
      <c r="O28" s="3">
        <v>39631</v>
      </c>
      <c r="P28" s="3"/>
      <c r="Q28" s="3">
        <v>4647</v>
      </c>
      <c r="R28" s="3">
        <v>10325</v>
      </c>
      <c r="S28" s="3">
        <v>4324</v>
      </c>
      <c r="T28" s="3">
        <v>1072</v>
      </c>
      <c r="U28" s="3">
        <v>4412</v>
      </c>
      <c r="V28" s="3">
        <v>36406</v>
      </c>
      <c r="W28" s="3">
        <v>50956</v>
      </c>
      <c r="X28" s="3">
        <v>85143</v>
      </c>
      <c r="Y28" s="3">
        <v>68218</v>
      </c>
      <c r="Z28" s="3">
        <v>377</v>
      </c>
      <c r="AA28" s="3"/>
      <c r="AB28" s="3"/>
      <c r="AC28" s="3"/>
      <c r="AD28" s="3">
        <v>2011</v>
      </c>
      <c r="AE28" s="3">
        <v>4889</v>
      </c>
      <c r="AF28" s="3">
        <v>4324</v>
      </c>
      <c r="AG28" s="3">
        <v>3360</v>
      </c>
      <c r="AH28" s="3">
        <v>2135</v>
      </c>
      <c r="AI28" s="3">
        <v>522</v>
      </c>
      <c r="AJ28" s="3">
        <v>2203</v>
      </c>
      <c r="AK28" s="3"/>
      <c r="AL28" s="3"/>
      <c r="AM28" s="2">
        <f t="shared" si="0"/>
        <v>17121.172413793105</v>
      </c>
    </row>
    <row r="29" spans="1:39">
      <c r="A29" s="16">
        <v>44986</v>
      </c>
      <c r="B29" s="3">
        <v>41714</v>
      </c>
      <c r="C29" s="3">
        <v>15087</v>
      </c>
      <c r="D29" s="3"/>
      <c r="E29" s="3">
        <v>14878</v>
      </c>
      <c r="F29" s="3">
        <v>28809</v>
      </c>
      <c r="G29" s="3">
        <v>19083</v>
      </c>
      <c r="H29" s="3">
        <v>7079</v>
      </c>
      <c r="I29" s="3">
        <v>5627</v>
      </c>
      <c r="J29" s="3">
        <v>10860</v>
      </c>
      <c r="K29" s="3">
        <v>9554</v>
      </c>
      <c r="L29" s="3">
        <v>16151</v>
      </c>
      <c r="M29" s="3"/>
      <c r="N29" s="3">
        <v>26337</v>
      </c>
      <c r="O29" s="3">
        <v>46058</v>
      </c>
      <c r="P29" s="3"/>
      <c r="Q29" s="3">
        <v>5029</v>
      </c>
      <c r="R29" s="3">
        <v>11794</v>
      </c>
      <c r="S29" s="3">
        <v>5558</v>
      </c>
      <c r="T29" s="3">
        <v>1130</v>
      </c>
      <c r="U29" s="3">
        <v>5844</v>
      </c>
      <c r="V29" s="3">
        <v>41480</v>
      </c>
      <c r="W29" s="3">
        <v>61533</v>
      </c>
      <c r="X29" s="3">
        <v>100529</v>
      </c>
      <c r="Y29" s="3">
        <v>77815</v>
      </c>
      <c r="Z29" s="3">
        <v>422</v>
      </c>
      <c r="AA29" s="3"/>
      <c r="AB29" s="3"/>
      <c r="AC29" s="3"/>
      <c r="AD29" s="3">
        <v>1940</v>
      </c>
      <c r="AE29" s="3">
        <v>5701</v>
      </c>
      <c r="AF29" s="3">
        <v>5066</v>
      </c>
      <c r="AG29" s="3">
        <v>3735</v>
      </c>
      <c r="AH29" s="3">
        <v>2330</v>
      </c>
      <c r="AI29" s="3">
        <v>599</v>
      </c>
      <c r="AJ29" s="3">
        <v>2551</v>
      </c>
      <c r="AK29" s="3"/>
      <c r="AL29" s="3"/>
      <c r="AM29" s="2">
        <f t="shared" si="0"/>
        <v>19803.206896551725</v>
      </c>
    </row>
    <row r="30" spans="1:39">
      <c r="A30" s="16">
        <v>45017</v>
      </c>
      <c r="B30" s="3">
        <v>39443</v>
      </c>
      <c r="C30" s="3">
        <v>13185</v>
      </c>
      <c r="D30" s="3"/>
      <c r="E30" s="3">
        <v>12815</v>
      </c>
      <c r="F30" s="3">
        <v>26998</v>
      </c>
      <c r="G30" s="3">
        <v>16824</v>
      </c>
      <c r="H30" s="3">
        <v>6335</v>
      </c>
      <c r="I30" s="3">
        <v>5303</v>
      </c>
      <c r="J30" s="3">
        <v>10654</v>
      </c>
      <c r="K30" s="3">
        <v>8860</v>
      </c>
      <c r="L30" s="3">
        <v>14534</v>
      </c>
      <c r="M30" s="3"/>
      <c r="N30" s="3">
        <v>23700</v>
      </c>
      <c r="O30" s="3">
        <v>41405</v>
      </c>
      <c r="P30" s="3"/>
      <c r="Q30" s="3">
        <v>4480</v>
      </c>
      <c r="R30" s="3">
        <v>11014</v>
      </c>
      <c r="S30" s="3">
        <v>4929</v>
      </c>
      <c r="T30" s="3">
        <v>919</v>
      </c>
      <c r="U30" s="3">
        <v>5299</v>
      </c>
      <c r="V30" s="3">
        <v>39754</v>
      </c>
      <c r="W30" s="3">
        <v>56152</v>
      </c>
      <c r="X30" s="3">
        <v>88930</v>
      </c>
      <c r="Y30" s="3">
        <v>69096</v>
      </c>
      <c r="Z30" s="3">
        <v>348</v>
      </c>
      <c r="AA30" s="3"/>
      <c r="AB30" s="3"/>
      <c r="AC30" s="3"/>
      <c r="AD30" s="3">
        <v>1742</v>
      </c>
      <c r="AE30" s="3">
        <v>5347</v>
      </c>
      <c r="AF30" s="3">
        <v>5014</v>
      </c>
      <c r="AG30" s="3">
        <v>3742</v>
      </c>
      <c r="AH30" s="3">
        <v>2049</v>
      </c>
      <c r="AI30" s="3">
        <v>573</v>
      </c>
      <c r="AJ30" s="3">
        <v>2861</v>
      </c>
      <c r="AK30" s="3"/>
      <c r="AL30" s="3"/>
      <c r="AM30" s="2">
        <f t="shared" si="0"/>
        <v>18010.517241379312</v>
      </c>
    </row>
    <row r="31" spans="1:39">
      <c r="A31" s="16">
        <v>45047</v>
      </c>
      <c r="B31" s="3">
        <v>42334</v>
      </c>
      <c r="C31" s="3">
        <v>14166</v>
      </c>
      <c r="D31" s="3"/>
      <c r="E31" s="3">
        <v>13793</v>
      </c>
      <c r="F31" s="3">
        <v>28722</v>
      </c>
      <c r="G31" s="3">
        <v>17905</v>
      </c>
      <c r="H31" s="3">
        <v>7084</v>
      </c>
      <c r="I31" s="3">
        <v>5515</v>
      </c>
      <c r="J31" s="3">
        <v>10897</v>
      </c>
      <c r="K31" s="3">
        <v>10356</v>
      </c>
      <c r="L31" s="3">
        <v>15875</v>
      </c>
      <c r="M31" s="3"/>
      <c r="N31" s="3">
        <v>25724</v>
      </c>
      <c r="O31" s="3">
        <v>46758</v>
      </c>
      <c r="P31" s="3"/>
      <c r="Q31" s="3">
        <v>5053</v>
      </c>
      <c r="R31" s="3">
        <v>11840</v>
      </c>
      <c r="S31" s="3">
        <v>5774</v>
      </c>
      <c r="T31" s="3">
        <v>914</v>
      </c>
      <c r="U31" s="3">
        <v>5813</v>
      </c>
      <c r="V31" s="3">
        <v>42785</v>
      </c>
      <c r="W31" s="3">
        <v>62180</v>
      </c>
      <c r="X31" s="3">
        <v>97818</v>
      </c>
      <c r="Y31" s="3">
        <v>77438</v>
      </c>
      <c r="Z31" s="3">
        <v>351</v>
      </c>
      <c r="AA31" s="3"/>
      <c r="AB31" s="3"/>
      <c r="AC31" s="3"/>
      <c r="AD31" s="3">
        <v>1477</v>
      </c>
      <c r="AE31" s="3">
        <v>5950</v>
      </c>
      <c r="AF31" s="3">
        <v>6097</v>
      </c>
      <c r="AG31" s="3">
        <v>4047</v>
      </c>
      <c r="AH31" s="3">
        <v>2008</v>
      </c>
      <c r="AI31" s="3">
        <v>678</v>
      </c>
      <c r="AJ31" s="3">
        <v>3010</v>
      </c>
      <c r="AK31" s="3"/>
      <c r="AL31" s="3"/>
      <c r="AM31" s="2">
        <f t="shared" si="0"/>
        <v>19736.620689655174</v>
      </c>
    </row>
    <row r="32" spans="1:39">
      <c r="A32" s="16">
        <v>45078</v>
      </c>
      <c r="B32" s="3">
        <v>37954</v>
      </c>
      <c r="C32" s="3">
        <v>13302</v>
      </c>
      <c r="D32" s="3"/>
      <c r="E32" s="3">
        <v>12404</v>
      </c>
      <c r="F32" s="3">
        <v>28067</v>
      </c>
      <c r="G32" s="3">
        <v>16519</v>
      </c>
      <c r="H32" s="3">
        <v>7354</v>
      </c>
      <c r="I32" s="3">
        <v>5292</v>
      </c>
      <c r="J32" s="3">
        <v>10076</v>
      </c>
      <c r="K32" s="3">
        <v>9062</v>
      </c>
      <c r="L32" s="3">
        <v>14698</v>
      </c>
      <c r="M32" s="3"/>
      <c r="N32" s="3">
        <v>24755</v>
      </c>
      <c r="O32" s="3">
        <v>44081</v>
      </c>
      <c r="P32" s="3"/>
      <c r="Q32" s="3">
        <v>4490</v>
      </c>
      <c r="R32" s="3">
        <v>10472</v>
      </c>
      <c r="S32" s="3">
        <v>6113</v>
      </c>
      <c r="T32" s="3">
        <v>747</v>
      </c>
      <c r="U32" s="3">
        <v>5742</v>
      </c>
      <c r="V32" s="3">
        <v>37684</v>
      </c>
      <c r="W32" s="3">
        <v>60925</v>
      </c>
      <c r="X32" s="3">
        <v>95085</v>
      </c>
      <c r="Y32" s="3">
        <v>72239</v>
      </c>
      <c r="Z32" s="3">
        <v>296</v>
      </c>
      <c r="AA32" s="3"/>
      <c r="AB32" s="3"/>
      <c r="AC32" s="3"/>
      <c r="AD32" s="3">
        <v>1385</v>
      </c>
      <c r="AE32" s="3">
        <v>5778</v>
      </c>
      <c r="AF32" s="3">
        <v>6085</v>
      </c>
      <c r="AG32" s="3">
        <v>3835</v>
      </c>
      <c r="AH32" s="3">
        <v>1940</v>
      </c>
      <c r="AI32" s="3">
        <v>579</v>
      </c>
      <c r="AJ32" s="3">
        <v>2333</v>
      </c>
      <c r="AK32" s="3"/>
      <c r="AL32" s="3"/>
      <c r="AM32" s="2">
        <f t="shared" si="0"/>
        <v>18596.275862068964</v>
      </c>
    </row>
    <row r="33" spans="1:39">
      <c r="A33" s="28">
        <v>45108</v>
      </c>
      <c r="B33" s="3">
        <v>32131</v>
      </c>
      <c r="C33" s="3">
        <v>11749</v>
      </c>
      <c r="D33" s="3"/>
      <c r="E33" s="3">
        <v>10932</v>
      </c>
      <c r="F33" s="3">
        <v>23089</v>
      </c>
      <c r="G33" s="3">
        <v>13877</v>
      </c>
      <c r="H33" s="3">
        <v>5984</v>
      </c>
      <c r="I33" s="3">
        <v>4551</v>
      </c>
      <c r="J33" s="3">
        <v>8519</v>
      </c>
      <c r="K33" s="3">
        <v>9028</v>
      </c>
      <c r="L33" s="3">
        <v>13373</v>
      </c>
      <c r="M33" s="3"/>
      <c r="N33" s="3">
        <v>21649</v>
      </c>
      <c r="O33" s="3">
        <v>36553</v>
      </c>
      <c r="P33" s="3"/>
      <c r="Q33" s="3">
        <v>3821</v>
      </c>
      <c r="R33" s="3">
        <v>8618</v>
      </c>
      <c r="S33" s="3">
        <v>5232</v>
      </c>
      <c r="T33" s="3">
        <v>595</v>
      </c>
      <c r="U33" s="3">
        <v>5126</v>
      </c>
      <c r="V33" s="3">
        <v>34433</v>
      </c>
      <c r="W33" s="3">
        <v>53104</v>
      </c>
      <c r="X33" s="3">
        <v>84652</v>
      </c>
      <c r="Y33" s="3">
        <v>63304</v>
      </c>
      <c r="Z33" s="3">
        <v>298</v>
      </c>
      <c r="AA33" s="3"/>
      <c r="AB33" s="3"/>
      <c r="AC33" s="3"/>
      <c r="AD33" s="3">
        <v>1301</v>
      </c>
      <c r="AE33" s="3">
        <v>5210</v>
      </c>
      <c r="AF33" s="3">
        <v>5153</v>
      </c>
      <c r="AG33" s="3">
        <v>3249</v>
      </c>
      <c r="AH33" s="3">
        <v>1792</v>
      </c>
      <c r="AI33" s="3">
        <v>451</v>
      </c>
      <c r="AJ33" s="3">
        <v>2281</v>
      </c>
      <c r="AK33" s="3"/>
      <c r="AL33" s="3"/>
      <c r="AM33" s="2">
        <f t="shared" si="0"/>
        <v>16208.793103448275</v>
      </c>
    </row>
    <row r="34" spans="1:39">
      <c r="A34" s="16">
        <v>45139</v>
      </c>
      <c r="B34" s="3">
        <v>42882</v>
      </c>
      <c r="C34" s="3">
        <v>16812</v>
      </c>
      <c r="D34" s="3"/>
      <c r="E34" s="3">
        <v>14996</v>
      </c>
      <c r="F34" s="3">
        <v>30379</v>
      </c>
      <c r="G34" s="3">
        <v>16466</v>
      </c>
      <c r="H34" s="3">
        <v>7657</v>
      </c>
      <c r="I34" s="3">
        <v>5764</v>
      </c>
      <c r="J34" s="3">
        <v>12661</v>
      </c>
      <c r="K34" s="3">
        <v>11065</v>
      </c>
      <c r="L34" s="3">
        <v>18630</v>
      </c>
      <c r="M34" s="3"/>
      <c r="N34" s="3">
        <v>26794</v>
      </c>
      <c r="O34" s="3">
        <v>49351</v>
      </c>
      <c r="P34" s="3"/>
      <c r="Q34" s="3">
        <v>4609</v>
      </c>
      <c r="R34" s="3">
        <v>12930</v>
      </c>
      <c r="S34" s="3">
        <v>5535</v>
      </c>
      <c r="T34" s="3">
        <v>1088</v>
      </c>
      <c r="U34" s="3">
        <v>6600</v>
      </c>
      <c r="V34" s="3">
        <v>47793</v>
      </c>
      <c r="W34" s="3">
        <v>63599</v>
      </c>
      <c r="X34" s="3">
        <v>106922</v>
      </c>
      <c r="Y34" s="3">
        <v>81491</v>
      </c>
      <c r="Z34" s="3">
        <v>367</v>
      </c>
      <c r="AA34" s="3">
        <v>616</v>
      </c>
      <c r="AB34" s="3"/>
      <c r="AC34" s="3"/>
      <c r="AD34" s="3">
        <v>2077</v>
      </c>
      <c r="AE34" s="3">
        <v>6127</v>
      </c>
      <c r="AF34" s="3">
        <v>6479</v>
      </c>
      <c r="AG34" s="3">
        <v>4357</v>
      </c>
      <c r="AH34" s="3">
        <v>2266</v>
      </c>
      <c r="AI34" s="3">
        <v>996</v>
      </c>
      <c r="AJ34" s="3">
        <v>3326</v>
      </c>
      <c r="AK34" s="3"/>
      <c r="AL34" s="3"/>
      <c r="AM34" s="2">
        <f t="shared" si="0"/>
        <v>20354.5</v>
      </c>
    </row>
    <row r="35" spans="1:39">
      <c r="A35" s="16">
        <v>45170</v>
      </c>
      <c r="B35" s="3">
        <v>43170</v>
      </c>
      <c r="C35" s="3">
        <v>16876</v>
      </c>
      <c r="D35" s="3"/>
      <c r="E35" s="3">
        <v>14060</v>
      </c>
      <c r="F35" s="3">
        <v>30649</v>
      </c>
      <c r="G35" s="3">
        <v>15097</v>
      </c>
      <c r="H35" s="3">
        <v>7315</v>
      </c>
      <c r="I35" s="3">
        <v>5355</v>
      </c>
      <c r="J35" s="3">
        <v>11236</v>
      </c>
      <c r="K35" s="3">
        <v>9888</v>
      </c>
      <c r="L35" s="3">
        <v>18350</v>
      </c>
      <c r="M35" s="3"/>
      <c r="N35" s="3">
        <v>25654</v>
      </c>
      <c r="O35" s="3">
        <v>45637</v>
      </c>
      <c r="P35" s="3"/>
      <c r="Q35" s="3">
        <v>4341</v>
      </c>
      <c r="R35" s="3">
        <v>12453</v>
      </c>
      <c r="S35" s="3">
        <v>5357</v>
      </c>
      <c r="T35" s="3">
        <v>1030</v>
      </c>
      <c r="U35" s="3">
        <v>6072</v>
      </c>
      <c r="V35" s="3">
        <v>43878</v>
      </c>
      <c r="W35" s="3">
        <v>58870</v>
      </c>
      <c r="X35" s="3">
        <v>96135</v>
      </c>
      <c r="Y35" s="3">
        <v>74960</v>
      </c>
      <c r="Z35" s="3">
        <v>339</v>
      </c>
      <c r="AA35" s="3">
        <v>816</v>
      </c>
      <c r="AB35" s="3"/>
      <c r="AC35" s="3"/>
      <c r="AD35" s="3">
        <v>1876</v>
      </c>
      <c r="AE35" s="3">
        <v>5938</v>
      </c>
      <c r="AF35" s="3">
        <v>5881</v>
      </c>
      <c r="AG35" s="3">
        <v>4244</v>
      </c>
      <c r="AH35" s="3">
        <v>2709</v>
      </c>
      <c r="AI35" s="3">
        <v>1134</v>
      </c>
      <c r="AJ35" s="3">
        <v>2954</v>
      </c>
      <c r="AK35" s="3"/>
      <c r="AL35" s="3"/>
      <c r="AM35" s="2">
        <f t="shared" si="0"/>
        <v>19075.8</v>
      </c>
    </row>
    <row r="36" spans="1:39">
      <c r="A36" s="28">
        <v>45200</v>
      </c>
      <c r="B36" s="3">
        <v>44299</v>
      </c>
      <c r="C36" s="3">
        <v>17105</v>
      </c>
      <c r="D36" s="3"/>
      <c r="E36" s="3">
        <v>14949</v>
      </c>
      <c r="F36" s="3">
        <v>33060</v>
      </c>
      <c r="G36" s="3">
        <v>16077</v>
      </c>
      <c r="H36" s="3">
        <v>7714</v>
      </c>
      <c r="I36" s="3">
        <v>5893</v>
      </c>
      <c r="J36" s="3">
        <v>11607</v>
      </c>
      <c r="K36" s="3">
        <v>11323</v>
      </c>
      <c r="L36" s="3">
        <v>17708</v>
      </c>
      <c r="M36" s="3"/>
      <c r="N36" s="3">
        <v>26879</v>
      </c>
      <c r="O36" s="3">
        <v>47701</v>
      </c>
      <c r="P36" s="3"/>
      <c r="Q36" s="3">
        <v>4763</v>
      </c>
      <c r="R36" s="3">
        <v>12432</v>
      </c>
      <c r="S36" s="3">
        <v>5729</v>
      </c>
      <c r="T36" s="3">
        <v>1362</v>
      </c>
      <c r="U36" s="3">
        <v>6444</v>
      </c>
      <c r="V36" s="3">
        <v>45083</v>
      </c>
      <c r="W36" s="3">
        <v>61870</v>
      </c>
      <c r="X36" s="3">
        <v>100575</v>
      </c>
      <c r="Y36" s="3">
        <v>78963</v>
      </c>
      <c r="Z36" s="3">
        <v>202</v>
      </c>
      <c r="AA36" s="3">
        <v>933</v>
      </c>
      <c r="AB36" s="3"/>
      <c r="AC36" s="3"/>
      <c r="AD36" s="3">
        <v>2459</v>
      </c>
      <c r="AE36" s="3">
        <v>6031</v>
      </c>
      <c r="AF36" s="3">
        <v>5993</v>
      </c>
      <c r="AG36" s="3">
        <v>4654</v>
      </c>
      <c r="AH36" s="3">
        <v>2741</v>
      </c>
      <c r="AI36" s="3">
        <v>1036</v>
      </c>
      <c r="AJ36" s="3">
        <v>2670</v>
      </c>
      <c r="AK36" s="3"/>
      <c r="AL36" s="3"/>
      <c r="AM36" s="2">
        <f t="shared" si="0"/>
        <v>19941.833333333332</v>
      </c>
    </row>
    <row r="37" spans="1:39">
      <c r="A37" s="16">
        <v>45231</v>
      </c>
      <c r="B37" s="3">
        <v>40250</v>
      </c>
      <c r="C37" s="3">
        <v>16808</v>
      </c>
      <c r="D37" s="3"/>
      <c r="E37" s="3">
        <v>15480</v>
      </c>
      <c r="F37" s="3">
        <v>30609</v>
      </c>
      <c r="G37" s="3">
        <v>16484</v>
      </c>
      <c r="H37" s="3">
        <v>7305</v>
      </c>
      <c r="I37" s="3">
        <v>5562</v>
      </c>
      <c r="J37" s="3">
        <v>11039</v>
      </c>
      <c r="K37" s="3">
        <v>9844</v>
      </c>
      <c r="L37" s="3">
        <v>16873</v>
      </c>
      <c r="M37" s="3"/>
      <c r="N37" s="3">
        <v>25855</v>
      </c>
      <c r="O37" s="3">
        <v>46106</v>
      </c>
      <c r="P37" s="3"/>
      <c r="Q37" s="3">
        <v>4892</v>
      </c>
      <c r="R37" s="3">
        <v>11727</v>
      </c>
      <c r="S37" s="3">
        <v>5670</v>
      </c>
      <c r="T37" s="3">
        <v>1299</v>
      </c>
      <c r="U37" s="3">
        <v>5691</v>
      </c>
      <c r="V37" s="3">
        <v>43285</v>
      </c>
      <c r="W37" s="3">
        <v>53892</v>
      </c>
      <c r="X37" s="3">
        <v>92392</v>
      </c>
      <c r="Y37" s="3">
        <v>77249</v>
      </c>
      <c r="Z37" s="3">
        <v>59</v>
      </c>
      <c r="AA37" s="3">
        <v>1032</v>
      </c>
      <c r="AB37" s="3"/>
      <c r="AC37" s="3"/>
      <c r="AD37" s="3">
        <v>1909</v>
      </c>
      <c r="AE37" s="3">
        <v>5955</v>
      </c>
      <c r="AF37" s="3">
        <v>5020</v>
      </c>
      <c r="AG37" s="3">
        <v>4603</v>
      </c>
      <c r="AH37" s="3">
        <v>2656</v>
      </c>
      <c r="AI37" s="3">
        <v>1157</v>
      </c>
      <c r="AJ37" s="3">
        <v>2676</v>
      </c>
      <c r="AK37" s="3"/>
      <c r="AL37" s="3"/>
      <c r="AM37" s="2">
        <f t="shared" si="0"/>
        <v>18779.3</v>
      </c>
    </row>
    <row r="38" spans="1:39">
      <c r="A38" s="16">
        <v>45261</v>
      </c>
      <c r="B38" s="3">
        <v>34473</v>
      </c>
      <c r="C38" s="3">
        <v>14585</v>
      </c>
      <c r="D38" s="3"/>
      <c r="E38" s="3">
        <v>13667</v>
      </c>
      <c r="F38" s="3">
        <v>26063</v>
      </c>
      <c r="G38" s="3">
        <v>17006</v>
      </c>
      <c r="H38" s="3">
        <v>6601</v>
      </c>
      <c r="I38" s="3">
        <v>5059</v>
      </c>
      <c r="J38" s="3">
        <v>9635</v>
      </c>
      <c r="K38" s="3">
        <v>8757</v>
      </c>
      <c r="L38" s="3">
        <v>14496</v>
      </c>
      <c r="M38" s="3"/>
      <c r="N38" s="3">
        <v>23470</v>
      </c>
      <c r="O38" s="3">
        <v>43526</v>
      </c>
      <c r="P38" s="3"/>
      <c r="Q38" s="3">
        <v>4177</v>
      </c>
      <c r="R38" s="3">
        <v>10016</v>
      </c>
      <c r="S38" s="3">
        <v>5909</v>
      </c>
      <c r="T38" s="3">
        <v>1116</v>
      </c>
      <c r="U38" s="3">
        <v>4823</v>
      </c>
      <c r="V38" s="3">
        <v>39141</v>
      </c>
      <c r="W38" s="3">
        <v>48485</v>
      </c>
      <c r="X38" s="3">
        <v>84755</v>
      </c>
      <c r="Y38" s="3">
        <v>68086</v>
      </c>
      <c r="Z38" s="3">
        <v>114</v>
      </c>
      <c r="AA38" s="3">
        <v>852</v>
      </c>
      <c r="AB38" s="3"/>
      <c r="AC38" s="3"/>
      <c r="AD38" s="3">
        <v>1497</v>
      </c>
      <c r="AE38" s="3">
        <v>5586</v>
      </c>
      <c r="AF38" s="3">
        <v>5586</v>
      </c>
      <c r="AG38" s="3">
        <v>4703</v>
      </c>
      <c r="AH38" s="3">
        <v>1956</v>
      </c>
      <c r="AI38" s="3">
        <v>768</v>
      </c>
      <c r="AJ38" s="3">
        <v>2007</v>
      </c>
      <c r="AK38" s="3"/>
      <c r="AL38" s="3"/>
      <c r="AM38" s="2">
        <f t="shared" si="0"/>
        <v>16897.166666666668</v>
      </c>
    </row>
    <row r="39" spans="1:39">
      <c r="A39" s="16">
        <v>45292</v>
      </c>
      <c r="B39" s="3">
        <v>31633</v>
      </c>
      <c r="C39" s="3">
        <v>13716</v>
      </c>
      <c r="D39" s="3"/>
      <c r="E39" s="3">
        <v>12730</v>
      </c>
      <c r="F39" s="3">
        <v>25950</v>
      </c>
      <c r="G39" s="3">
        <v>16601</v>
      </c>
      <c r="H39" s="3">
        <v>6685</v>
      </c>
      <c r="I39" s="3">
        <v>4585</v>
      </c>
      <c r="J39" s="3">
        <v>9365</v>
      </c>
      <c r="K39" s="3">
        <v>8342</v>
      </c>
      <c r="L39" s="3">
        <v>12102</v>
      </c>
      <c r="M39" s="3"/>
      <c r="N39" s="3">
        <v>23785</v>
      </c>
      <c r="O39" s="3">
        <v>40129</v>
      </c>
      <c r="P39" s="3"/>
      <c r="Q39" s="3">
        <v>3647</v>
      </c>
      <c r="R39" s="3">
        <v>9837</v>
      </c>
      <c r="S39" s="3">
        <v>4463</v>
      </c>
      <c r="T39" s="3">
        <v>1105</v>
      </c>
      <c r="U39" s="3">
        <v>4958</v>
      </c>
      <c r="V39" s="3">
        <v>34481</v>
      </c>
      <c r="W39" s="3">
        <v>43401</v>
      </c>
      <c r="X39" s="3">
        <v>78929</v>
      </c>
      <c r="Y39" s="3">
        <v>64542</v>
      </c>
      <c r="Z39" s="3">
        <v>147</v>
      </c>
      <c r="AA39" s="3">
        <v>731</v>
      </c>
      <c r="AB39" s="3"/>
      <c r="AC39" s="3"/>
      <c r="AD39" s="3">
        <v>1652</v>
      </c>
      <c r="AE39" s="3">
        <v>4695</v>
      </c>
      <c r="AF39" s="3">
        <v>4695</v>
      </c>
      <c r="AG39" s="3">
        <v>3436</v>
      </c>
      <c r="AH39" s="3">
        <v>1876</v>
      </c>
      <c r="AI39" s="3">
        <v>823</v>
      </c>
      <c r="AJ39" s="3">
        <v>2279</v>
      </c>
      <c r="AK39" s="3"/>
      <c r="AL39" s="3"/>
      <c r="AM39" s="2">
        <f t="shared" si="0"/>
        <v>15710.666666666666</v>
      </c>
    </row>
    <row r="40" spans="1:39">
      <c r="A40" s="16">
        <v>45323</v>
      </c>
      <c r="B40" s="3">
        <v>41133</v>
      </c>
      <c r="C40" s="3">
        <v>17011</v>
      </c>
      <c r="D40" s="3"/>
      <c r="E40" s="3">
        <v>15029</v>
      </c>
      <c r="F40" s="3">
        <v>32256</v>
      </c>
      <c r="G40" s="3">
        <v>19050</v>
      </c>
      <c r="H40" s="3">
        <v>7989</v>
      </c>
      <c r="I40" s="3">
        <v>5628</v>
      </c>
      <c r="J40" s="3">
        <v>12053</v>
      </c>
      <c r="K40" s="3">
        <v>9941</v>
      </c>
      <c r="L40" s="3">
        <v>16966</v>
      </c>
      <c r="M40" s="3"/>
      <c r="N40" s="3">
        <v>30568</v>
      </c>
      <c r="O40" s="3">
        <v>48363</v>
      </c>
      <c r="P40" s="3"/>
      <c r="Q40" s="3">
        <v>4790</v>
      </c>
      <c r="R40" s="3">
        <v>12832</v>
      </c>
      <c r="S40" s="3">
        <v>5532</v>
      </c>
      <c r="T40" s="3">
        <v>1394</v>
      </c>
      <c r="U40" s="3">
        <v>6374</v>
      </c>
      <c r="V40" s="3">
        <v>42450</v>
      </c>
      <c r="W40" s="3">
        <v>54914</v>
      </c>
      <c r="X40" s="3">
        <v>98435</v>
      </c>
      <c r="Y40" s="3">
        <v>81148</v>
      </c>
      <c r="Z40" s="3">
        <v>142</v>
      </c>
      <c r="AA40" s="3">
        <v>1328</v>
      </c>
      <c r="AB40" s="3"/>
      <c r="AC40" s="3"/>
      <c r="AD40" s="3">
        <v>2216</v>
      </c>
      <c r="AE40" s="3">
        <v>5699</v>
      </c>
      <c r="AF40" s="3">
        <v>5827</v>
      </c>
      <c r="AG40" s="3">
        <v>4522</v>
      </c>
      <c r="AH40" s="3">
        <v>2678</v>
      </c>
      <c r="AI40" s="3">
        <v>1213</v>
      </c>
      <c r="AJ40" s="3">
        <v>2804</v>
      </c>
      <c r="AK40" s="3"/>
      <c r="AL40" s="3"/>
      <c r="AM40" s="2">
        <f t="shared" si="0"/>
        <v>19676.166666666668</v>
      </c>
    </row>
    <row r="41" spans="1:39">
      <c r="A41" s="16">
        <v>45352</v>
      </c>
      <c r="B41" s="3">
        <v>40047</v>
      </c>
      <c r="C41" s="3">
        <v>15582</v>
      </c>
      <c r="D41" s="3"/>
      <c r="E41" s="3">
        <v>14749</v>
      </c>
      <c r="F41" s="3">
        <v>30812</v>
      </c>
      <c r="G41" s="3">
        <v>17667</v>
      </c>
      <c r="H41" s="3">
        <v>7669</v>
      </c>
      <c r="I41" s="3">
        <v>5331</v>
      </c>
      <c r="J41" s="3">
        <v>11226</v>
      </c>
      <c r="K41" s="3">
        <v>10629</v>
      </c>
      <c r="L41" s="3">
        <v>16886</v>
      </c>
      <c r="M41" s="3"/>
      <c r="N41" s="3">
        <v>28944</v>
      </c>
      <c r="O41" s="3">
        <v>45006</v>
      </c>
      <c r="P41" s="3"/>
      <c r="Q41" s="3">
        <v>4503</v>
      </c>
      <c r="R41" s="3">
        <v>12110</v>
      </c>
      <c r="S41" s="3">
        <v>5781</v>
      </c>
      <c r="T41" s="3">
        <v>1226</v>
      </c>
      <c r="U41" s="3">
        <v>7045</v>
      </c>
      <c r="V41" s="3">
        <v>41283</v>
      </c>
      <c r="W41" s="3">
        <v>56494</v>
      </c>
      <c r="X41" s="3">
        <v>94501</v>
      </c>
      <c r="Y41" s="3">
        <v>73864</v>
      </c>
      <c r="Z41" s="3">
        <v>169</v>
      </c>
      <c r="AA41" s="3">
        <v>931</v>
      </c>
      <c r="AB41" s="3"/>
      <c r="AC41" s="3"/>
      <c r="AD41" s="3">
        <v>2101</v>
      </c>
      <c r="AE41" s="3">
        <v>5824</v>
      </c>
      <c r="AF41" s="3">
        <v>5907</v>
      </c>
      <c r="AG41" s="3">
        <v>4849</v>
      </c>
      <c r="AH41" s="3">
        <v>2243</v>
      </c>
      <c r="AI41" s="3">
        <v>1075</v>
      </c>
      <c r="AJ41" s="3">
        <v>2752</v>
      </c>
      <c r="AK41" s="3"/>
      <c r="AL41" s="3"/>
      <c r="AM41" s="2">
        <f t="shared" si="0"/>
        <v>18906.866666666665</v>
      </c>
    </row>
    <row r="42" spans="1:39">
      <c r="A42" s="16">
        <v>45383</v>
      </c>
      <c r="B42" s="3">
        <v>44630</v>
      </c>
      <c r="C42" s="3">
        <v>16268</v>
      </c>
      <c r="D42" s="3"/>
      <c r="E42" s="3">
        <v>15159</v>
      </c>
      <c r="F42" s="3">
        <v>33360</v>
      </c>
      <c r="G42" s="3">
        <v>17292</v>
      </c>
      <c r="H42" s="3">
        <v>7384</v>
      </c>
      <c r="I42" s="3">
        <v>9760</v>
      </c>
      <c r="J42" s="3">
        <v>11725</v>
      </c>
      <c r="K42" s="3">
        <v>11065</v>
      </c>
      <c r="L42" s="3">
        <v>18486</v>
      </c>
      <c r="M42" s="3"/>
      <c r="N42" s="3">
        <v>23862</v>
      </c>
      <c r="O42" s="3">
        <v>48524</v>
      </c>
      <c r="P42" s="3"/>
      <c r="Q42" s="3">
        <v>3084</v>
      </c>
      <c r="R42" s="3">
        <v>12988</v>
      </c>
      <c r="S42" s="3">
        <v>6100</v>
      </c>
      <c r="T42" s="3">
        <v>2057</v>
      </c>
      <c r="U42" s="3">
        <v>8656</v>
      </c>
      <c r="V42" s="3">
        <v>45347</v>
      </c>
      <c r="W42" s="3">
        <v>62628</v>
      </c>
      <c r="X42" s="3">
        <v>100005</v>
      </c>
      <c r="Y42" s="3">
        <v>80827</v>
      </c>
      <c r="Z42" s="3">
        <v>423</v>
      </c>
      <c r="AA42" s="3">
        <v>1401</v>
      </c>
      <c r="AB42" s="3">
        <v>3003</v>
      </c>
      <c r="AC42" s="3"/>
      <c r="AD42" s="3">
        <v>3672</v>
      </c>
      <c r="AE42" s="3">
        <v>6081</v>
      </c>
      <c r="AF42" s="3">
        <v>8213</v>
      </c>
      <c r="AG42" s="3">
        <v>5364</v>
      </c>
      <c r="AH42" s="3">
        <v>2688</v>
      </c>
      <c r="AI42" s="3">
        <v>1058</v>
      </c>
      <c r="AJ42" s="3">
        <v>2560</v>
      </c>
      <c r="AK42" s="3"/>
      <c r="AL42" s="3"/>
      <c r="AM42" s="2">
        <f t="shared" si="0"/>
        <v>19795.806451612902</v>
      </c>
    </row>
    <row r="43" spans="1:39">
      <c r="A43" s="16">
        <v>45413</v>
      </c>
      <c r="B43" s="3">
        <v>42014</v>
      </c>
      <c r="C43" s="3">
        <v>15572</v>
      </c>
      <c r="D43" s="3"/>
      <c r="E43" s="3">
        <v>15061</v>
      </c>
      <c r="F43" s="3">
        <v>30246</v>
      </c>
      <c r="G43" s="3">
        <v>17036</v>
      </c>
      <c r="H43" s="3">
        <v>7197</v>
      </c>
      <c r="I43" s="3">
        <v>9990</v>
      </c>
      <c r="J43" s="3">
        <v>11219</v>
      </c>
      <c r="K43" s="3">
        <v>12246</v>
      </c>
      <c r="L43" s="3">
        <v>17199</v>
      </c>
      <c r="M43" s="3"/>
      <c r="N43" s="3">
        <v>24570</v>
      </c>
      <c r="O43" s="3">
        <v>47637</v>
      </c>
      <c r="P43" s="3"/>
      <c r="Q43" s="3">
        <v>2969</v>
      </c>
      <c r="R43" s="3">
        <v>11264</v>
      </c>
      <c r="S43" s="3">
        <v>6047</v>
      </c>
      <c r="T43" s="3">
        <v>2485</v>
      </c>
      <c r="U43" s="3">
        <v>9440</v>
      </c>
      <c r="V43" s="3">
        <v>42816</v>
      </c>
      <c r="W43" s="3">
        <v>63700</v>
      </c>
      <c r="X43" s="3">
        <v>98744</v>
      </c>
      <c r="Y43" s="3">
        <v>78992</v>
      </c>
      <c r="Z43" s="3">
        <v>461</v>
      </c>
      <c r="AA43" s="3">
        <v>1126</v>
      </c>
      <c r="AB43" s="3">
        <v>3285</v>
      </c>
      <c r="AC43" s="3"/>
      <c r="AD43" s="3">
        <v>4174</v>
      </c>
      <c r="AE43" s="3">
        <v>5708</v>
      </c>
      <c r="AF43" s="3">
        <v>9307</v>
      </c>
      <c r="AG43" s="3">
        <v>4850</v>
      </c>
      <c r="AH43" s="3">
        <v>2277</v>
      </c>
      <c r="AI43" s="3">
        <v>780</v>
      </c>
      <c r="AJ43" s="3">
        <v>2120</v>
      </c>
      <c r="AK43" s="3"/>
      <c r="AL43" s="3"/>
      <c r="AM43" s="2">
        <f t="shared" si="0"/>
        <v>19372</v>
      </c>
    </row>
    <row r="44" spans="1:39">
      <c r="A44" s="28">
        <v>45444</v>
      </c>
      <c r="B44" s="3">
        <v>36077</v>
      </c>
      <c r="C44" s="3">
        <v>13177</v>
      </c>
      <c r="D44" s="3"/>
      <c r="E44" s="3">
        <v>12205</v>
      </c>
      <c r="F44" s="3">
        <v>25990</v>
      </c>
      <c r="G44" s="3">
        <v>14938</v>
      </c>
      <c r="H44" s="3">
        <v>6581</v>
      </c>
      <c r="I44" s="3">
        <v>8909</v>
      </c>
      <c r="J44" s="3">
        <v>9413</v>
      </c>
      <c r="K44" s="3">
        <v>10893</v>
      </c>
      <c r="L44" s="3">
        <v>14051</v>
      </c>
      <c r="M44" s="3"/>
      <c r="N44" s="3">
        <v>21676</v>
      </c>
      <c r="O44" s="3">
        <v>40839</v>
      </c>
      <c r="P44" s="3"/>
      <c r="Q44" s="3">
        <v>2663</v>
      </c>
      <c r="R44" s="3">
        <v>9486</v>
      </c>
      <c r="S44" s="3">
        <v>5718</v>
      </c>
      <c r="T44" s="3">
        <v>2168</v>
      </c>
      <c r="U44" s="3">
        <v>8674</v>
      </c>
      <c r="V44" s="3">
        <v>35705</v>
      </c>
      <c r="W44" s="3">
        <v>56602</v>
      </c>
      <c r="X44" s="3">
        <v>85806</v>
      </c>
      <c r="Y44" s="3">
        <v>65846</v>
      </c>
      <c r="Z44" s="3">
        <v>448</v>
      </c>
      <c r="AA44" s="3">
        <v>736</v>
      </c>
      <c r="AB44" s="3">
        <v>3200</v>
      </c>
      <c r="AC44" s="3"/>
      <c r="AD44" s="3">
        <v>3907</v>
      </c>
      <c r="AE44" s="3">
        <v>5164</v>
      </c>
      <c r="AF44" s="3">
        <v>8484</v>
      </c>
      <c r="AG44" s="3">
        <v>4031</v>
      </c>
      <c r="AH44" s="3">
        <v>1882</v>
      </c>
      <c r="AI44" s="3">
        <v>538</v>
      </c>
      <c r="AJ44" s="3">
        <v>1691</v>
      </c>
      <c r="AK44" s="3"/>
      <c r="AL44" s="3"/>
      <c r="AM44" s="2">
        <f t="shared" si="0"/>
        <v>16693.483870967742</v>
      </c>
    </row>
    <row r="45" spans="1:39">
      <c r="A45" s="16">
        <v>45474</v>
      </c>
      <c r="B45" s="3">
        <v>38769</v>
      </c>
      <c r="C45" s="3">
        <v>14248</v>
      </c>
      <c r="D45" s="3"/>
      <c r="E45" s="3">
        <v>14072</v>
      </c>
      <c r="F45" s="3">
        <v>28356</v>
      </c>
      <c r="G45" s="3">
        <v>16229</v>
      </c>
      <c r="H45" s="3">
        <v>7231</v>
      </c>
      <c r="I45" s="3">
        <v>9881</v>
      </c>
      <c r="J45" s="3">
        <v>9875</v>
      </c>
      <c r="K45" s="3">
        <v>11315</v>
      </c>
      <c r="L45" s="3">
        <v>15298</v>
      </c>
      <c r="M45" s="3"/>
      <c r="N45" s="3">
        <v>22313</v>
      </c>
      <c r="O45" s="3">
        <v>42920</v>
      </c>
      <c r="P45" s="3"/>
      <c r="Q45" s="3">
        <v>2821</v>
      </c>
      <c r="R45" s="3">
        <v>9406</v>
      </c>
      <c r="S45" s="3">
        <v>5955</v>
      </c>
      <c r="T45" s="3">
        <v>2270</v>
      </c>
      <c r="U45" s="3">
        <v>8958</v>
      </c>
      <c r="V45" s="3">
        <v>39343</v>
      </c>
      <c r="W45" s="3">
        <v>59983</v>
      </c>
      <c r="X45" s="3">
        <v>90627</v>
      </c>
      <c r="Y45" s="3">
        <v>71865</v>
      </c>
      <c r="Z45" s="3">
        <v>486</v>
      </c>
      <c r="AA45" s="3">
        <v>779</v>
      </c>
      <c r="AB45" s="3">
        <v>3124</v>
      </c>
      <c r="AC45" s="3"/>
      <c r="AD45" s="3">
        <v>4542</v>
      </c>
      <c r="AE45" s="3">
        <v>5636</v>
      </c>
      <c r="AF45" s="3">
        <v>9393</v>
      </c>
      <c r="AG45" s="3">
        <v>4263</v>
      </c>
      <c r="AH45" s="3">
        <v>2064</v>
      </c>
      <c r="AI45" s="3">
        <v>667</v>
      </c>
      <c r="AJ45" s="3">
        <v>2375</v>
      </c>
      <c r="AK45" s="3"/>
      <c r="AL45" s="3"/>
      <c r="AM45" s="2">
        <f t="shared" si="0"/>
        <v>17905.290322580644</v>
      </c>
    </row>
    <row r="46" spans="1:39">
      <c r="A46" s="16">
        <v>45505</v>
      </c>
      <c r="B46" s="3">
        <v>46269</v>
      </c>
      <c r="C46" s="3">
        <v>17338</v>
      </c>
      <c r="D46" s="3"/>
      <c r="E46" s="3">
        <v>16321</v>
      </c>
      <c r="F46" s="3">
        <v>34311</v>
      </c>
      <c r="G46" s="3">
        <v>18018</v>
      </c>
      <c r="H46" s="3">
        <v>7994</v>
      </c>
      <c r="I46" s="3">
        <v>10692</v>
      </c>
      <c r="J46" s="3">
        <v>12579</v>
      </c>
      <c r="K46" s="3">
        <v>12495</v>
      </c>
      <c r="L46" s="3">
        <v>18896</v>
      </c>
      <c r="M46" s="3"/>
      <c r="N46" s="3">
        <v>25307</v>
      </c>
      <c r="O46" s="3">
        <v>48050</v>
      </c>
      <c r="P46" s="3"/>
      <c r="Q46" s="3">
        <v>3494</v>
      </c>
      <c r="R46" s="3">
        <v>12528</v>
      </c>
      <c r="S46" s="3">
        <v>6308</v>
      </c>
      <c r="T46" s="3">
        <v>2714</v>
      </c>
      <c r="U46" s="3">
        <v>9587</v>
      </c>
      <c r="V46" s="3">
        <v>49260</v>
      </c>
      <c r="W46" s="3">
        <v>64578</v>
      </c>
      <c r="X46" s="3">
        <v>101587</v>
      </c>
      <c r="Y46" s="3">
        <v>84523</v>
      </c>
      <c r="Z46" s="3">
        <v>488</v>
      </c>
      <c r="AA46" s="3">
        <v>1654</v>
      </c>
      <c r="AB46" s="3">
        <v>3888</v>
      </c>
      <c r="AC46" s="3"/>
      <c r="AD46" s="3">
        <v>6440</v>
      </c>
      <c r="AE46" s="3">
        <v>5992</v>
      </c>
      <c r="AF46" s="3">
        <v>10444</v>
      </c>
      <c r="AG46" s="3">
        <v>4564</v>
      </c>
      <c r="AH46" s="3">
        <v>2192</v>
      </c>
      <c r="AI46" s="3">
        <v>1260</v>
      </c>
      <c r="AJ46" s="3">
        <v>3018</v>
      </c>
      <c r="AK46" s="3"/>
      <c r="AL46" s="3"/>
      <c r="AM46" s="2">
        <f t="shared" si="0"/>
        <v>20735.129032258064</v>
      </c>
    </row>
    <row r="47" spans="1:39">
      <c r="A47" s="16">
        <v>45536</v>
      </c>
      <c r="B47" s="3">
        <v>43387</v>
      </c>
      <c r="C47" s="3">
        <v>17115</v>
      </c>
      <c r="D47" s="3"/>
      <c r="E47" s="3">
        <v>15214</v>
      </c>
      <c r="F47" s="3">
        <v>33001</v>
      </c>
      <c r="G47" s="3">
        <v>16521</v>
      </c>
      <c r="H47" s="3">
        <v>7619</v>
      </c>
      <c r="I47" s="3">
        <v>10061</v>
      </c>
      <c r="J47" s="3">
        <v>12402</v>
      </c>
      <c r="K47" s="3">
        <v>11326</v>
      </c>
      <c r="L47" s="3">
        <v>18280</v>
      </c>
      <c r="M47" s="3"/>
      <c r="N47" s="3">
        <v>23870</v>
      </c>
      <c r="O47" s="3">
        <v>44690</v>
      </c>
      <c r="P47" s="3"/>
      <c r="Q47" s="3">
        <v>3163</v>
      </c>
      <c r="R47" s="3">
        <v>12423</v>
      </c>
      <c r="S47" s="3">
        <v>6255</v>
      </c>
      <c r="T47" s="3">
        <v>2746</v>
      </c>
      <c r="U47" s="3">
        <v>8947</v>
      </c>
      <c r="V47" s="3">
        <v>44506</v>
      </c>
      <c r="W47" s="3">
        <v>58177</v>
      </c>
      <c r="X47" s="3">
        <v>93770</v>
      </c>
      <c r="Y47" s="3">
        <v>78941</v>
      </c>
      <c r="Z47" s="3">
        <v>541</v>
      </c>
      <c r="AA47" s="3">
        <v>1682</v>
      </c>
      <c r="AB47" s="3">
        <v>3767</v>
      </c>
      <c r="AC47" s="3"/>
      <c r="AD47" s="3">
        <v>6727</v>
      </c>
      <c r="AE47" s="3">
        <v>5907</v>
      </c>
      <c r="AF47" s="3">
        <v>9810</v>
      </c>
      <c r="AG47" s="3">
        <v>4505</v>
      </c>
      <c r="AH47" s="3">
        <v>2613</v>
      </c>
      <c r="AI47" s="3">
        <v>1244</v>
      </c>
      <c r="AJ47" s="3">
        <v>2545</v>
      </c>
      <c r="AK47" s="3"/>
      <c r="AL47" s="3"/>
      <c r="AM47" s="2">
        <f t="shared" si="0"/>
        <v>19411.451612903227</v>
      </c>
    </row>
    <row r="48" spans="1:39">
      <c r="A48" s="28">
        <v>45566</v>
      </c>
      <c r="B48" s="3">
        <v>48561</v>
      </c>
      <c r="C48" s="3">
        <v>20318</v>
      </c>
      <c r="D48" s="3"/>
      <c r="E48" s="3">
        <v>17265</v>
      </c>
      <c r="F48" s="3">
        <v>38058</v>
      </c>
      <c r="G48" s="3">
        <v>19236</v>
      </c>
      <c r="H48" s="3">
        <v>8882</v>
      </c>
      <c r="I48" s="3">
        <v>11742</v>
      </c>
      <c r="J48" s="3">
        <v>13681</v>
      </c>
      <c r="K48" s="3">
        <v>13482</v>
      </c>
      <c r="L48" s="3">
        <v>20215</v>
      </c>
      <c r="M48" s="3"/>
      <c r="N48" s="3">
        <v>27721</v>
      </c>
      <c r="O48" s="3">
        <v>52109</v>
      </c>
      <c r="P48" s="3"/>
      <c r="Q48" s="3">
        <v>3633</v>
      </c>
      <c r="R48" s="3">
        <v>13937</v>
      </c>
      <c r="S48" s="3">
        <v>7688</v>
      </c>
      <c r="T48" s="3">
        <v>3264</v>
      </c>
      <c r="U48" s="3">
        <v>10802</v>
      </c>
      <c r="V48" s="3">
        <v>50968</v>
      </c>
      <c r="W48" s="3">
        <v>65429</v>
      </c>
      <c r="X48" s="3">
        <v>106911</v>
      </c>
      <c r="Y48" s="3">
        <v>88933</v>
      </c>
      <c r="Z48" s="3">
        <v>590</v>
      </c>
      <c r="AA48" s="3">
        <v>1545</v>
      </c>
      <c r="AB48" s="3">
        <v>4704</v>
      </c>
      <c r="AC48" s="3"/>
      <c r="AD48" s="3">
        <v>7895</v>
      </c>
      <c r="AE48" s="3">
        <v>7064</v>
      </c>
      <c r="AF48" s="3">
        <v>11131</v>
      </c>
      <c r="AG48" s="3">
        <v>4832</v>
      </c>
      <c r="AH48" s="3">
        <v>2818</v>
      </c>
      <c r="AI48" s="3">
        <v>778</v>
      </c>
      <c r="AJ48" s="3">
        <v>2755</v>
      </c>
      <c r="AK48" s="3"/>
      <c r="AL48" s="3"/>
      <c r="AM48" s="2">
        <f t="shared" si="0"/>
        <v>22159.580645161292</v>
      </c>
    </row>
    <row r="49" spans="1:39">
      <c r="A49" s="16">
        <v>45597</v>
      </c>
      <c r="B49" s="3">
        <v>37626</v>
      </c>
      <c r="C49" s="3">
        <v>16623</v>
      </c>
      <c r="D49" s="3"/>
      <c r="E49" s="3">
        <v>14522</v>
      </c>
      <c r="F49" s="3">
        <v>30498</v>
      </c>
      <c r="G49" s="3">
        <v>16932</v>
      </c>
      <c r="H49" s="3">
        <v>6754</v>
      </c>
      <c r="I49" s="3">
        <v>10128</v>
      </c>
      <c r="J49" s="3">
        <v>10911</v>
      </c>
      <c r="K49" s="3">
        <v>10590</v>
      </c>
      <c r="L49" s="3">
        <v>16164</v>
      </c>
      <c r="M49" s="3"/>
      <c r="N49" s="3">
        <v>23003</v>
      </c>
      <c r="O49" s="3">
        <v>41520</v>
      </c>
      <c r="P49" s="3"/>
      <c r="Q49" s="3">
        <v>2803</v>
      </c>
      <c r="R49" s="3">
        <v>10480</v>
      </c>
      <c r="S49" s="3">
        <v>6029</v>
      </c>
      <c r="T49" s="3">
        <v>3296</v>
      </c>
      <c r="U49" s="3">
        <v>8175</v>
      </c>
      <c r="V49" s="3">
        <v>41456</v>
      </c>
      <c r="W49" s="3">
        <v>52410</v>
      </c>
      <c r="X49" s="3">
        <v>87777</v>
      </c>
      <c r="Y49" s="3">
        <v>76030</v>
      </c>
      <c r="Z49" s="3">
        <v>504</v>
      </c>
      <c r="AA49" s="3">
        <v>1244</v>
      </c>
      <c r="AB49" s="3">
        <v>4082</v>
      </c>
      <c r="AC49" s="3"/>
      <c r="AD49" s="3">
        <v>6361</v>
      </c>
      <c r="AE49" s="3">
        <v>5961</v>
      </c>
      <c r="AF49" s="3">
        <v>9116</v>
      </c>
      <c r="AG49" s="3">
        <v>3906</v>
      </c>
      <c r="AH49" s="3">
        <v>2351</v>
      </c>
      <c r="AI49" s="3">
        <v>627</v>
      </c>
      <c r="AJ49" s="3">
        <v>2658</v>
      </c>
      <c r="AK49" s="3"/>
      <c r="AL49" s="3"/>
      <c r="AM49" s="2">
        <f t="shared" si="0"/>
        <v>18081.83870967742</v>
      </c>
    </row>
    <row r="50" spans="1:39">
      <c r="A50" s="28">
        <v>45627</v>
      </c>
      <c r="B50" s="3">
        <v>34242</v>
      </c>
      <c r="C50" s="3">
        <v>15704</v>
      </c>
      <c r="D50" s="3"/>
      <c r="E50" s="3">
        <v>13127</v>
      </c>
      <c r="F50" s="3">
        <v>26529</v>
      </c>
      <c r="G50" s="3">
        <v>17102</v>
      </c>
      <c r="H50" s="3">
        <v>6556</v>
      </c>
      <c r="I50" s="3">
        <v>9524</v>
      </c>
      <c r="J50" s="3">
        <v>9961</v>
      </c>
      <c r="K50" s="3">
        <v>9646</v>
      </c>
      <c r="L50" s="3">
        <v>14556</v>
      </c>
      <c r="M50" s="3"/>
      <c r="N50" s="3">
        <v>21648</v>
      </c>
      <c r="O50" s="3">
        <v>41526</v>
      </c>
      <c r="P50" s="3"/>
      <c r="Q50" s="3">
        <v>2643</v>
      </c>
      <c r="R50" s="3">
        <v>8949</v>
      </c>
      <c r="S50" s="3">
        <v>6493</v>
      </c>
      <c r="T50" s="3">
        <v>2793</v>
      </c>
      <c r="U50" s="3">
        <v>6031</v>
      </c>
      <c r="V50" s="3">
        <v>40437</v>
      </c>
      <c r="W50" s="3">
        <v>47327</v>
      </c>
      <c r="X50" s="3">
        <v>83356</v>
      </c>
      <c r="Y50" s="3">
        <v>73974</v>
      </c>
      <c r="Z50" s="3">
        <v>1628</v>
      </c>
      <c r="AA50" s="3">
        <v>1168</v>
      </c>
      <c r="AB50" s="3">
        <v>3777</v>
      </c>
      <c r="AC50" s="3"/>
      <c r="AD50" s="3">
        <v>5145</v>
      </c>
      <c r="AE50" s="3">
        <v>5795</v>
      </c>
      <c r="AF50" s="3">
        <v>8095</v>
      </c>
      <c r="AG50" s="3">
        <v>3958</v>
      </c>
      <c r="AH50" s="3">
        <v>1825</v>
      </c>
      <c r="AI50" s="3">
        <v>482</v>
      </c>
      <c r="AJ50" s="3">
        <v>2485</v>
      </c>
      <c r="AK50" s="3"/>
      <c r="AL50" s="3"/>
      <c r="AM50" s="2">
        <f t="shared" si="0"/>
        <v>16983.290322580644</v>
      </c>
    </row>
    <row r="51" spans="1:39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9" ht="13.9" customHeight="1">
      <c r="B52" s="61" t="s">
        <v>8</v>
      </c>
      <c r="C52" s="61"/>
      <c r="D52" s="61"/>
      <c r="E52" s="54"/>
      <c r="F52" s="54"/>
      <c r="G52" s="5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9" ht="13.9" customHeight="1">
      <c r="B53" s="61"/>
      <c r="C53" s="61"/>
      <c r="D53" s="61"/>
      <c r="E53" s="54"/>
      <c r="F53" s="54"/>
      <c r="G53" s="5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9" ht="13.9" customHeight="1">
      <c r="B54" s="58"/>
      <c r="C54" s="60" t="str">
        <f>"Monthly Unlinked Passenger Trips for Route "&amp;C55</f>
        <v>Monthly Unlinked Passenger Trips for Route 42</v>
      </c>
      <c r="D54" s="59"/>
      <c r="E54" s="54"/>
      <c r="F54" s="54"/>
      <c r="G54" s="5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9">
      <c r="B55" s="55" t="s">
        <v>7</v>
      </c>
      <c r="C55" s="56">
        <v>42</v>
      </c>
      <c r="D55" s="3"/>
      <c r="E55" s="3"/>
      <c r="F55" s="6"/>
      <c r="G55" s="3"/>
      <c r="H55" s="6"/>
      <c r="I55" s="3"/>
      <c r="J55" s="6"/>
      <c r="K55" s="3"/>
      <c r="L55" s="6"/>
      <c r="M55" s="3"/>
      <c r="N55" s="6"/>
      <c r="O55" s="3"/>
      <c r="P55" s="3"/>
      <c r="Q55" s="3"/>
      <c r="R55" s="3"/>
      <c r="S55" s="6"/>
      <c r="T55" s="3"/>
      <c r="U55" s="6"/>
      <c r="V55" s="3"/>
      <c r="W55" s="6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9">
      <c r="B56" s="57">
        <f>A3</f>
        <v>44197</v>
      </c>
      <c r="C56" s="55">
        <f t="shared" ref="C56:C103" si="1">INDEX($B$3:$AM$50,MATCH(B56,$A$3:$A$50,0),MATCH($C$55,$B$1:$AM$1,0))</f>
        <v>2686.22</v>
      </c>
      <c r="D56" s="6"/>
      <c r="E56" s="3"/>
      <c r="F56" s="6"/>
      <c r="G56" s="3"/>
      <c r="H56" s="6"/>
      <c r="I56" s="9"/>
      <c r="J56" s="6"/>
      <c r="K56" s="9"/>
      <c r="L56" s="6"/>
      <c r="M56" s="3"/>
      <c r="N56" s="6"/>
      <c r="O56" s="3"/>
      <c r="P56" s="3"/>
      <c r="Q56" s="6"/>
      <c r="R56" s="3"/>
      <c r="S56" s="6"/>
      <c r="T56" s="3"/>
      <c r="U56" s="6"/>
      <c r="V56" s="3"/>
      <c r="W56" s="6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9">
      <c r="B57" s="57">
        <f t="shared" ref="B57:B103" si="2">A4</f>
        <v>44228</v>
      </c>
      <c r="C57" s="55">
        <f t="shared" si="1"/>
        <v>2297</v>
      </c>
      <c r="D57" s="6"/>
      <c r="E57" s="3"/>
      <c r="F57" s="7"/>
      <c r="G57" s="3"/>
      <c r="H57" s="6"/>
      <c r="I57" s="8"/>
      <c r="J57" s="7"/>
      <c r="K57" s="9"/>
      <c r="L57" s="7"/>
      <c r="M57" s="3"/>
      <c r="N57" s="7"/>
      <c r="O57" s="3"/>
      <c r="P57" s="3"/>
      <c r="Q57" s="6"/>
      <c r="R57" s="3"/>
      <c r="S57" s="7"/>
      <c r="T57" s="3"/>
      <c r="U57" s="7"/>
      <c r="V57" s="3"/>
      <c r="W57" s="7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9">
      <c r="B58" s="57">
        <f t="shared" si="2"/>
        <v>44256</v>
      </c>
      <c r="C58" s="55">
        <f t="shared" si="1"/>
        <v>3280</v>
      </c>
      <c r="D58" s="7"/>
      <c r="E58" s="3"/>
      <c r="F58" s="6"/>
      <c r="G58" s="3"/>
      <c r="H58" s="6"/>
      <c r="I58" s="8"/>
      <c r="J58" s="6"/>
      <c r="K58" s="8"/>
      <c r="L58" s="6"/>
      <c r="M58" s="3"/>
      <c r="N58" s="6"/>
      <c r="O58" s="3"/>
      <c r="P58" s="3"/>
      <c r="Q58" s="6"/>
      <c r="R58" s="3"/>
      <c r="S58" s="6"/>
      <c r="T58" s="3"/>
      <c r="U58" s="6"/>
      <c r="V58" s="3"/>
      <c r="W58" s="6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9">
      <c r="B59" s="57">
        <f t="shared" si="2"/>
        <v>44287</v>
      </c>
      <c r="C59" s="55">
        <f t="shared" si="1"/>
        <v>3492</v>
      </c>
      <c r="D59" s="6"/>
      <c r="E59" s="3"/>
      <c r="F59" s="6"/>
      <c r="G59" s="6"/>
      <c r="H59" s="6"/>
      <c r="I59" s="8"/>
      <c r="J59" s="6"/>
      <c r="K59" s="8"/>
      <c r="L59" s="6"/>
      <c r="M59" s="3"/>
      <c r="N59" s="6"/>
      <c r="O59" s="3"/>
      <c r="P59" s="3"/>
      <c r="Q59" s="6"/>
      <c r="R59" s="3"/>
      <c r="S59" s="6"/>
      <c r="T59" s="3"/>
      <c r="U59" s="6"/>
      <c r="V59" s="3"/>
      <c r="W59" s="6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9">
      <c r="B60" s="57">
        <f t="shared" si="2"/>
        <v>44317</v>
      </c>
      <c r="C60" s="55">
        <f t="shared" si="1"/>
        <v>3312</v>
      </c>
      <c r="D60" s="6"/>
      <c r="E60" s="3"/>
      <c r="F60" s="6"/>
      <c r="G60" s="6"/>
      <c r="H60" s="6"/>
      <c r="I60" s="8"/>
      <c r="J60" s="6"/>
      <c r="K60" s="8"/>
      <c r="L60" s="6"/>
      <c r="M60" s="3"/>
      <c r="N60" s="6"/>
      <c r="O60" s="3"/>
      <c r="P60" s="3"/>
      <c r="Q60" s="6"/>
      <c r="R60" s="3"/>
      <c r="S60" s="6"/>
      <c r="T60" s="3"/>
      <c r="U60" s="6"/>
      <c r="V60" s="3"/>
      <c r="W60" s="6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9">
      <c r="B61" s="57">
        <f t="shared" si="2"/>
        <v>44348</v>
      </c>
      <c r="C61" s="55">
        <f t="shared" si="1"/>
        <v>3836</v>
      </c>
      <c r="D61" s="6"/>
      <c r="E61" s="3"/>
      <c r="F61" s="6"/>
      <c r="G61" s="6"/>
      <c r="H61" s="6"/>
      <c r="I61" s="8"/>
      <c r="J61" s="6"/>
      <c r="K61" s="8"/>
      <c r="L61" s="6"/>
      <c r="M61" s="3"/>
      <c r="N61" s="6"/>
      <c r="O61" s="3"/>
      <c r="P61" s="3"/>
      <c r="Q61" s="6"/>
      <c r="R61" s="3"/>
      <c r="S61" s="6"/>
      <c r="T61" s="3"/>
      <c r="U61" s="6"/>
      <c r="V61" s="3"/>
      <c r="W61" s="6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9">
      <c r="B62" s="57">
        <f t="shared" si="2"/>
        <v>44378</v>
      </c>
      <c r="C62" s="55">
        <f t="shared" si="1"/>
        <v>3729</v>
      </c>
      <c r="D62" s="6"/>
      <c r="E62" s="3"/>
      <c r="F62" s="6"/>
      <c r="G62" s="6"/>
      <c r="H62" s="6"/>
      <c r="I62" s="8"/>
      <c r="J62" s="6"/>
      <c r="K62" s="8"/>
      <c r="L62" s="6"/>
      <c r="M62" s="3"/>
      <c r="N62" s="6"/>
      <c r="O62" s="3"/>
      <c r="P62" s="3"/>
      <c r="Q62" s="6"/>
      <c r="R62" s="3"/>
      <c r="S62" s="6"/>
      <c r="T62" s="3"/>
      <c r="U62" s="6"/>
      <c r="V62" s="3"/>
      <c r="W62" s="6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9">
      <c r="B63" s="57">
        <f t="shared" si="2"/>
        <v>44409</v>
      </c>
      <c r="C63" s="55">
        <f t="shared" si="1"/>
        <v>3951</v>
      </c>
      <c r="D63" s="6"/>
      <c r="E63" s="3"/>
      <c r="F63" s="6"/>
      <c r="G63" s="6"/>
      <c r="H63" s="6"/>
      <c r="I63" s="8"/>
      <c r="J63" s="6"/>
      <c r="K63" s="8"/>
      <c r="L63" s="6"/>
      <c r="M63" s="3"/>
      <c r="N63" s="6"/>
      <c r="O63" s="3"/>
      <c r="P63" s="3"/>
      <c r="Q63" s="6"/>
      <c r="R63" s="3"/>
      <c r="S63" s="6"/>
      <c r="T63" s="3"/>
      <c r="U63" s="6"/>
      <c r="V63" s="3"/>
      <c r="W63" s="6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9">
      <c r="B64" s="57">
        <f t="shared" si="2"/>
        <v>44440</v>
      </c>
      <c r="C64" s="55">
        <f t="shared" si="1"/>
        <v>4045</v>
      </c>
      <c r="D64" s="6"/>
      <c r="E64" s="3"/>
      <c r="F64" s="6"/>
      <c r="G64" s="6"/>
      <c r="H64" s="6"/>
      <c r="I64" s="8"/>
      <c r="J64" s="6"/>
      <c r="K64" s="8"/>
      <c r="L64" s="6"/>
      <c r="M64" s="3"/>
      <c r="N64" s="6"/>
      <c r="O64" s="3"/>
      <c r="P64" s="3"/>
      <c r="Q64" s="6"/>
      <c r="R64" s="3"/>
      <c r="S64" s="6"/>
      <c r="T64" s="3"/>
      <c r="U64" s="6"/>
      <c r="V64" s="3"/>
      <c r="W64" s="6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2:38">
      <c r="B65" s="57">
        <f t="shared" si="2"/>
        <v>44470</v>
      </c>
      <c r="C65" s="55">
        <f t="shared" si="1"/>
        <v>3799</v>
      </c>
      <c r="D65" s="6"/>
      <c r="E65" s="3"/>
      <c r="F65" s="6"/>
      <c r="G65" s="6"/>
      <c r="H65" s="6"/>
      <c r="I65" s="8"/>
      <c r="J65" s="6"/>
      <c r="K65" s="8"/>
      <c r="L65" s="6"/>
      <c r="M65" s="3"/>
      <c r="N65" s="6"/>
      <c r="O65" s="3"/>
      <c r="P65" s="3"/>
      <c r="Q65" s="6"/>
      <c r="R65" s="3"/>
      <c r="S65" s="6"/>
      <c r="T65" s="3"/>
      <c r="U65" s="6"/>
      <c r="V65" s="3"/>
      <c r="W65" s="6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2:38">
      <c r="B66" s="57">
        <f t="shared" si="2"/>
        <v>44501</v>
      </c>
      <c r="C66" s="55">
        <f t="shared" si="1"/>
        <v>3709</v>
      </c>
      <c r="D66" s="6"/>
      <c r="E66" s="3"/>
      <c r="F66" s="7"/>
      <c r="G66" s="6"/>
      <c r="H66" s="6"/>
      <c r="I66" s="8"/>
      <c r="J66" s="7"/>
      <c r="K66" s="8"/>
      <c r="L66" s="7"/>
      <c r="M66" s="3"/>
      <c r="N66" s="7"/>
      <c r="O66" s="3"/>
      <c r="P66" s="3"/>
      <c r="Q66" s="6"/>
      <c r="R66" s="3"/>
      <c r="S66" s="7"/>
      <c r="T66" s="3"/>
      <c r="U66" s="7"/>
      <c r="V66" s="3"/>
      <c r="W66" s="7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2:38">
      <c r="B67" s="57">
        <f t="shared" si="2"/>
        <v>44531</v>
      </c>
      <c r="C67" s="55">
        <f t="shared" si="1"/>
        <v>3922</v>
      </c>
      <c r="D67" s="7"/>
      <c r="E67" s="3"/>
      <c r="F67" s="6"/>
      <c r="G67" s="6"/>
      <c r="H67" s="6"/>
      <c r="I67" s="8"/>
      <c r="J67" s="6"/>
      <c r="K67" s="8"/>
      <c r="L67" s="6"/>
      <c r="M67" s="3"/>
      <c r="N67" s="6"/>
      <c r="O67" s="3"/>
      <c r="P67" s="3"/>
      <c r="Q67" s="7"/>
      <c r="R67" s="3"/>
      <c r="S67" s="6"/>
      <c r="T67" s="3"/>
      <c r="U67" s="6"/>
      <c r="V67" s="3"/>
      <c r="W67" s="6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>
      <c r="B68" s="57">
        <f t="shared" si="2"/>
        <v>44562</v>
      </c>
      <c r="C68" s="55">
        <f t="shared" si="1"/>
        <v>3261</v>
      </c>
      <c r="D68" s="6"/>
      <c r="E68" s="3"/>
      <c r="F68" s="6"/>
      <c r="G68" s="6"/>
      <c r="H68" s="6"/>
      <c r="I68" s="8"/>
      <c r="J68" s="6"/>
      <c r="K68" s="8"/>
      <c r="L68" s="6"/>
      <c r="M68" s="3"/>
      <c r="N68" s="6"/>
      <c r="O68" s="3"/>
      <c r="P68" s="3"/>
      <c r="Q68" s="6"/>
      <c r="R68" s="3"/>
      <c r="S68" s="6"/>
      <c r="T68" s="3"/>
      <c r="U68" s="6"/>
      <c r="V68" s="3"/>
      <c r="W68" s="6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2:38">
      <c r="B69" s="57">
        <f t="shared" si="2"/>
        <v>44593</v>
      </c>
      <c r="C69" s="55">
        <f t="shared" si="1"/>
        <v>3496</v>
      </c>
      <c r="D69" s="6"/>
      <c r="E69" s="3"/>
      <c r="F69" s="7"/>
      <c r="G69" s="6"/>
      <c r="H69" s="6"/>
      <c r="I69" s="8"/>
      <c r="J69" s="7"/>
      <c r="K69" s="8"/>
      <c r="L69" s="7"/>
      <c r="M69" s="3"/>
      <c r="N69" s="7"/>
      <c r="O69" s="3"/>
      <c r="P69" s="3"/>
      <c r="Q69" s="6"/>
      <c r="R69" s="3"/>
      <c r="S69" s="7"/>
      <c r="T69" s="3"/>
      <c r="U69" s="7"/>
      <c r="V69" s="3"/>
      <c r="W69" s="7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2:38">
      <c r="B70" s="57">
        <f t="shared" si="2"/>
        <v>44621</v>
      </c>
      <c r="C70" s="55">
        <f t="shared" si="1"/>
        <v>4399</v>
      </c>
      <c r="D70" s="7"/>
      <c r="E70" s="3"/>
      <c r="F70" s="6"/>
      <c r="G70" s="6"/>
      <c r="H70" s="6"/>
      <c r="I70" s="8"/>
      <c r="J70" s="6"/>
      <c r="K70" s="8"/>
      <c r="L70" s="6"/>
      <c r="M70" s="3"/>
      <c r="N70" s="6"/>
      <c r="O70" s="3"/>
      <c r="P70" s="3"/>
      <c r="Q70" s="7"/>
      <c r="R70" s="3"/>
      <c r="S70" s="6"/>
      <c r="T70" s="3"/>
      <c r="U70" s="6"/>
      <c r="V70" s="3"/>
      <c r="W70" s="6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2:38">
      <c r="B71" s="57">
        <f t="shared" si="2"/>
        <v>44652</v>
      </c>
      <c r="C71" s="55">
        <f t="shared" si="1"/>
        <v>4404</v>
      </c>
      <c r="D71" s="6"/>
      <c r="E71" s="3"/>
      <c r="F71" s="6"/>
      <c r="G71" s="6"/>
      <c r="H71" s="6"/>
      <c r="I71" s="8"/>
      <c r="J71" s="6"/>
      <c r="K71" s="8"/>
      <c r="L71" s="6"/>
      <c r="M71" s="3"/>
      <c r="N71" s="6"/>
      <c r="O71" s="3"/>
      <c r="P71" s="3"/>
      <c r="Q71" s="6"/>
      <c r="R71" s="3"/>
      <c r="S71" s="6"/>
      <c r="T71" s="3"/>
      <c r="U71" s="6"/>
      <c r="V71" s="3"/>
      <c r="W71" s="6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2:38">
      <c r="B72" s="57">
        <f t="shared" si="2"/>
        <v>44682</v>
      </c>
      <c r="C72" s="55">
        <f t="shared" si="1"/>
        <v>4768</v>
      </c>
      <c r="D72" s="6"/>
      <c r="E72" s="3"/>
      <c r="F72" s="6"/>
      <c r="G72" s="6"/>
      <c r="H72" s="6"/>
      <c r="I72" s="8"/>
      <c r="J72" s="6"/>
      <c r="K72" s="8"/>
      <c r="L72" s="6"/>
      <c r="M72" s="3"/>
      <c r="N72" s="6"/>
      <c r="O72" s="3"/>
      <c r="P72" s="3"/>
      <c r="Q72" s="6"/>
      <c r="R72" s="3"/>
      <c r="S72" s="6"/>
      <c r="T72" s="3"/>
      <c r="U72" s="6"/>
      <c r="V72" s="3"/>
      <c r="W72" s="6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2:38">
      <c r="B73" s="57">
        <f t="shared" si="2"/>
        <v>44713</v>
      </c>
      <c r="C73" s="55">
        <f t="shared" si="1"/>
        <v>4569</v>
      </c>
      <c r="D73" s="6"/>
      <c r="E73" s="3"/>
      <c r="F73" s="7"/>
      <c r="G73" s="6"/>
      <c r="H73" s="6"/>
      <c r="I73" s="8"/>
      <c r="J73" s="6"/>
      <c r="K73" s="8"/>
      <c r="L73" s="6"/>
      <c r="M73" s="3"/>
      <c r="N73" s="6"/>
      <c r="O73" s="3"/>
      <c r="P73" s="3"/>
      <c r="Q73" s="6"/>
      <c r="R73" s="3"/>
      <c r="S73" s="6"/>
      <c r="T73" s="3"/>
      <c r="U73" s="6"/>
      <c r="V73" s="3"/>
      <c r="W73" s="7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2:38">
      <c r="B74" s="57">
        <f t="shared" si="2"/>
        <v>44743</v>
      </c>
      <c r="C74" s="55">
        <f t="shared" si="1"/>
        <v>4341</v>
      </c>
      <c r="D74" s="7"/>
      <c r="E74" s="3"/>
      <c r="F74" s="6"/>
      <c r="G74" s="6"/>
      <c r="H74" s="6"/>
      <c r="I74" s="8"/>
      <c r="J74" s="6"/>
      <c r="K74" s="8"/>
      <c r="L74" s="6"/>
      <c r="M74" s="3"/>
      <c r="N74" s="6"/>
      <c r="O74" s="3"/>
      <c r="P74" s="3"/>
      <c r="Q74" s="6"/>
      <c r="R74" s="3"/>
      <c r="S74" s="6"/>
      <c r="T74" s="3"/>
      <c r="U74" s="6"/>
      <c r="V74" s="3"/>
      <c r="W74" s="6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2:38">
      <c r="B75" s="57">
        <f t="shared" si="2"/>
        <v>44774</v>
      </c>
      <c r="C75" s="55">
        <f t="shared" si="1"/>
        <v>5673</v>
      </c>
      <c r="D75" s="6"/>
      <c r="E75" s="3"/>
      <c r="F75" s="6"/>
      <c r="G75" s="6"/>
      <c r="H75" s="6"/>
      <c r="I75" s="8"/>
      <c r="J75" s="6"/>
      <c r="K75" s="8"/>
      <c r="L75" s="6"/>
      <c r="M75" s="3"/>
      <c r="N75" s="6"/>
      <c r="O75" s="3"/>
      <c r="P75" s="3"/>
      <c r="Q75" s="6"/>
      <c r="R75" s="3"/>
      <c r="S75" s="6"/>
      <c r="T75" s="3"/>
      <c r="U75" s="6"/>
      <c r="V75" s="3"/>
      <c r="W75" s="6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2:38">
      <c r="B76" s="57">
        <f t="shared" si="2"/>
        <v>44805</v>
      </c>
      <c r="C76" s="55">
        <f t="shared" si="1"/>
        <v>5482</v>
      </c>
      <c r="D76" s="6"/>
      <c r="E76" s="3"/>
      <c r="F76" s="6"/>
      <c r="G76" s="6"/>
      <c r="H76" s="6"/>
      <c r="I76" s="8"/>
      <c r="J76" s="6"/>
      <c r="K76" s="10"/>
      <c r="L76" s="6"/>
      <c r="M76" s="3"/>
      <c r="N76" s="6"/>
      <c r="O76" s="3"/>
      <c r="P76" s="3"/>
      <c r="Q76" s="6"/>
      <c r="R76" s="3"/>
      <c r="S76" s="6"/>
      <c r="T76" s="3"/>
      <c r="U76" s="6"/>
      <c r="V76" s="3"/>
      <c r="W76" s="6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2:38">
      <c r="B77" s="57">
        <f t="shared" si="2"/>
        <v>44835</v>
      </c>
      <c r="C77" s="55">
        <f t="shared" si="1"/>
        <v>4987</v>
      </c>
      <c r="D77" s="6"/>
      <c r="E77" s="3"/>
      <c r="F77" s="6"/>
      <c r="G77" s="7"/>
      <c r="H77" s="6"/>
      <c r="I77" s="8"/>
      <c r="J77" s="6"/>
      <c r="K77" s="8"/>
      <c r="L77" s="6"/>
      <c r="M77" s="3"/>
      <c r="N77" s="6"/>
      <c r="O77" s="3"/>
      <c r="P77" s="3"/>
      <c r="Q77" s="6"/>
      <c r="R77" s="3"/>
      <c r="S77" s="6"/>
      <c r="T77" s="3"/>
      <c r="U77" s="6"/>
      <c r="V77" s="3"/>
      <c r="W77" s="6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2:38">
      <c r="B78" s="57">
        <f t="shared" si="2"/>
        <v>44866</v>
      </c>
      <c r="C78" s="55">
        <f t="shared" si="1"/>
        <v>4948</v>
      </c>
      <c r="D78" s="6"/>
      <c r="E78" s="3"/>
      <c r="F78" s="6"/>
      <c r="G78" s="6"/>
      <c r="H78" s="6"/>
      <c r="I78" s="8"/>
      <c r="J78" s="6"/>
      <c r="K78" s="8"/>
      <c r="L78" s="6"/>
      <c r="M78" s="3"/>
      <c r="N78" s="6"/>
      <c r="O78" s="3"/>
      <c r="P78" s="3"/>
      <c r="Q78" s="6"/>
      <c r="R78" s="3"/>
      <c r="S78" s="6"/>
      <c r="T78" s="3"/>
      <c r="U78" s="6"/>
      <c r="V78" s="3"/>
      <c r="W78" s="6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2:38">
      <c r="B79" s="57">
        <f t="shared" si="2"/>
        <v>44896</v>
      </c>
      <c r="C79" s="55">
        <f t="shared" si="1"/>
        <v>4583</v>
      </c>
      <c r="D79" s="6"/>
      <c r="E79" s="3"/>
      <c r="F79" s="7"/>
      <c r="G79" s="6"/>
      <c r="H79" s="7"/>
      <c r="I79" s="8"/>
      <c r="J79" s="7"/>
      <c r="K79" s="8"/>
      <c r="L79" s="7"/>
      <c r="M79" s="3"/>
      <c r="N79" s="7"/>
      <c r="O79" s="3"/>
      <c r="P79" s="3"/>
      <c r="Q79" s="6"/>
      <c r="R79" s="3"/>
      <c r="S79" s="7"/>
      <c r="T79" s="3"/>
      <c r="U79" s="7"/>
      <c r="V79" s="3"/>
      <c r="W79" s="7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2:38">
      <c r="B80" s="57">
        <f t="shared" si="2"/>
        <v>44927</v>
      </c>
      <c r="C80" s="55">
        <f t="shared" si="1"/>
        <v>4400</v>
      </c>
      <c r="D80" s="7"/>
      <c r="E80" s="3"/>
      <c r="F80" s="7"/>
      <c r="G80" s="6"/>
      <c r="H80" s="7"/>
      <c r="I80" s="8"/>
      <c r="J80" s="7"/>
      <c r="K80" s="8"/>
      <c r="L80" s="7"/>
      <c r="M80" s="3"/>
      <c r="N80" s="7"/>
      <c r="O80" s="3"/>
      <c r="P80" s="3"/>
      <c r="Q80" s="7"/>
      <c r="R80" s="3"/>
      <c r="S80" s="7"/>
      <c r="T80" s="3"/>
      <c r="U80" s="7"/>
      <c r="V80" s="3"/>
      <c r="W80" s="7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2:38">
      <c r="B81" s="57">
        <f t="shared" si="2"/>
        <v>44958</v>
      </c>
      <c r="C81" s="55">
        <f t="shared" si="1"/>
        <v>4412</v>
      </c>
      <c r="D81" s="7"/>
      <c r="E81" s="3"/>
      <c r="F81" s="7"/>
      <c r="G81" s="6"/>
      <c r="H81" s="7"/>
      <c r="I81" s="10"/>
      <c r="J81" s="7"/>
      <c r="K81" s="8"/>
      <c r="L81" s="7"/>
      <c r="M81" s="3"/>
      <c r="N81" s="7"/>
      <c r="O81" s="3"/>
      <c r="P81" s="3"/>
      <c r="Q81" s="7"/>
      <c r="R81" s="3"/>
      <c r="S81" s="7"/>
      <c r="T81" s="3"/>
      <c r="U81" s="7"/>
      <c r="V81" s="3"/>
      <c r="W81" s="7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2:38">
      <c r="B82" s="57">
        <f t="shared" si="2"/>
        <v>44986</v>
      </c>
      <c r="C82" s="55">
        <f t="shared" si="1"/>
        <v>5844</v>
      </c>
      <c r="D82" s="7"/>
      <c r="E82" s="3"/>
      <c r="F82" s="7"/>
      <c r="G82" s="6"/>
      <c r="H82" s="7"/>
      <c r="I82" s="10"/>
      <c r="J82" s="7"/>
      <c r="K82" s="10"/>
      <c r="L82" s="7"/>
      <c r="M82" s="3"/>
      <c r="N82" s="7"/>
      <c r="O82" s="3"/>
      <c r="P82" s="3"/>
      <c r="Q82" s="7"/>
      <c r="R82" s="3"/>
      <c r="S82" s="7"/>
      <c r="T82" s="3"/>
      <c r="U82" s="7"/>
      <c r="V82" s="3"/>
      <c r="W82" s="7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2:38">
      <c r="B83" s="57">
        <f t="shared" si="2"/>
        <v>45017</v>
      </c>
      <c r="C83" s="55">
        <f t="shared" si="1"/>
        <v>5299</v>
      </c>
      <c r="D83" s="7"/>
      <c r="E83" s="3"/>
      <c r="F83" s="6"/>
      <c r="G83" s="7"/>
      <c r="H83" s="7"/>
      <c r="I83" s="10"/>
      <c r="J83" s="6"/>
      <c r="K83" s="10"/>
      <c r="L83" s="6"/>
      <c r="M83" s="3"/>
      <c r="N83" s="6"/>
      <c r="O83" s="3"/>
      <c r="P83" s="3"/>
      <c r="Q83" s="7"/>
      <c r="R83" s="3"/>
      <c r="S83" s="6"/>
      <c r="T83" s="3"/>
      <c r="U83" s="6"/>
      <c r="V83" s="3"/>
      <c r="W83" s="6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2:38">
      <c r="B84" s="57">
        <f t="shared" si="2"/>
        <v>45047</v>
      </c>
      <c r="C84" s="55">
        <f t="shared" si="1"/>
        <v>5813</v>
      </c>
      <c r="D84" s="6"/>
      <c r="E84" s="3"/>
      <c r="F84" s="6"/>
      <c r="G84" s="7"/>
      <c r="H84" s="6"/>
      <c r="I84" s="10"/>
      <c r="J84" s="6"/>
      <c r="K84" s="10"/>
      <c r="L84" s="6"/>
      <c r="M84" s="3"/>
      <c r="N84" s="6"/>
      <c r="O84" s="3"/>
      <c r="P84" s="3"/>
      <c r="Q84" s="6"/>
      <c r="R84" s="3"/>
      <c r="S84" s="6"/>
      <c r="T84" s="3"/>
      <c r="U84" s="6"/>
      <c r="V84" s="3"/>
      <c r="W84" s="6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2:38">
      <c r="B85" s="57">
        <f t="shared" si="2"/>
        <v>45078</v>
      </c>
      <c r="C85" s="55">
        <f t="shared" si="1"/>
        <v>5742</v>
      </c>
      <c r="D85" s="6"/>
      <c r="E85" s="3"/>
      <c r="F85" s="6"/>
      <c r="G85" s="7"/>
      <c r="H85" s="6"/>
      <c r="I85" s="10"/>
      <c r="J85" s="6"/>
      <c r="K85" s="10"/>
      <c r="L85" s="6"/>
      <c r="M85" s="3"/>
      <c r="N85" s="6"/>
      <c r="O85" s="3"/>
      <c r="P85" s="3"/>
      <c r="Q85" s="6"/>
      <c r="R85" s="3"/>
      <c r="S85" s="6"/>
      <c r="T85" s="3"/>
      <c r="U85" s="6"/>
      <c r="V85" s="3"/>
      <c r="W85" s="6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2:38">
      <c r="B86" s="57">
        <f t="shared" si="2"/>
        <v>45108</v>
      </c>
      <c r="C86" s="55">
        <f t="shared" si="1"/>
        <v>5126</v>
      </c>
      <c r="D86" s="6"/>
      <c r="E86" s="3"/>
      <c r="F86" s="6"/>
      <c r="G86" s="7"/>
      <c r="H86" s="7"/>
      <c r="I86" s="8"/>
      <c r="J86" s="6"/>
      <c r="K86" s="10"/>
      <c r="L86" s="6"/>
      <c r="M86" s="3"/>
      <c r="N86" s="6"/>
      <c r="O86" s="3"/>
      <c r="P86" s="3"/>
      <c r="Q86" s="6"/>
      <c r="R86" s="3"/>
      <c r="S86" s="6"/>
      <c r="T86" s="3"/>
      <c r="U86" s="6"/>
      <c r="V86" s="3"/>
      <c r="W86" s="6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2:38">
      <c r="B87" s="57">
        <f t="shared" si="2"/>
        <v>45139</v>
      </c>
      <c r="C87" s="55">
        <f t="shared" si="1"/>
        <v>6600</v>
      </c>
      <c r="D87" s="6"/>
      <c r="E87" s="3"/>
      <c r="F87" s="6"/>
      <c r="G87" s="7"/>
      <c r="H87" s="6"/>
      <c r="I87" s="8"/>
      <c r="J87" s="6"/>
      <c r="K87" s="8"/>
      <c r="L87" s="6"/>
      <c r="M87" s="3"/>
      <c r="N87" s="6"/>
      <c r="O87" s="3"/>
      <c r="P87" s="3"/>
      <c r="Q87" s="6"/>
      <c r="R87" s="3"/>
      <c r="S87" s="6"/>
      <c r="T87" s="3"/>
      <c r="U87" s="6"/>
      <c r="V87" s="3"/>
      <c r="W87" s="6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2:38">
      <c r="B88" s="57">
        <f t="shared" si="2"/>
        <v>45170</v>
      </c>
      <c r="C88" s="55">
        <f t="shared" si="1"/>
        <v>6072</v>
      </c>
      <c r="D88" s="6"/>
      <c r="E88" s="3"/>
      <c r="F88" s="7"/>
      <c r="G88" s="6"/>
      <c r="H88" s="7"/>
      <c r="I88" s="10"/>
      <c r="J88" s="7"/>
      <c r="K88" s="8"/>
      <c r="L88" s="7"/>
      <c r="M88" s="3"/>
      <c r="N88" s="7"/>
      <c r="O88" s="3"/>
      <c r="P88" s="3"/>
      <c r="Q88" s="6"/>
      <c r="R88" s="3"/>
      <c r="S88" s="7"/>
      <c r="T88" s="3"/>
      <c r="U88" s="7"/>
      <c r="V88" s="3"/>
      <c r="W88" s="7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2:38">
      <c r="B89" s="57">
        <f>A36</f>
        <v>45200</v>
      </c>
      <c r="C89" s="55">
        <f t="shared" si="1"/>
        <v>6444</v>
      </c>
      <c r="D89" s="7"/>
      <c r="E89" s="3"/>
      <c r="F89" s="6"/>
      <c r="G89" s="6"/>
      <c r="H89" s="6"/>
      <c r="I89" s="8"/>
      <c r="J89" s="6"/>
      <c r="K89" s="10"/>
      <c r="L89" s="6"/>
      <c r="M89" s="3"/>
      <c r="N89" s="6"/>
      <c r="O89" s="3"/>
      <c r="P89" s="3"/>
      <c r="Q89" s="7"/>
      <c r="R89" s="3"/>
      <c r="S89" s="6"/>
      <c r="T89" s="3"/>
      <c r="U89" s="6"/>
      <c r="V89" s="3"/>
      <c r="W89" s="6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2:38">
      <c r="B90" s="57">
        <f t="shared" si="2"/>
        <v>45231</v>
      </c>
      <c r="C90" s="55">
        <f t="shared" si="1"/>
        <v>5691</v>
      </c>
      <c r="D90" s="6"/>
      <c r="E90" s="3"/>
      <c r="F90" s="7"/>
      <c r="G90" s="7"/>
      <c r="H90" s="7"/>
      <c r="I90" s="10"/>
      <c r="J90" s="7"/>
      <c r="K90" s="8"/>
      <c r="L90" s="7"/>
      <c r="M90" s="3"/>
      <c r="N90" s="7"/>
      <c r="O90" s="3"/>
      <c r="P90" s="3"/>
      <c r="Q90" s="6"/>
      <c r="R90" s="3"/>
      <c r="S90" s="7"/>
      <c r="T90" s="3"/>
      <c r="U90" s="7"/>
      <c r="V90" s="3"/>
      <c r="W90" s="7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2:38">
      <c r="B91" s="57">
        <f t="shared" si="2"/>
        <v>45261</v>
      </c>
      <c r="C91" s="55">
        <f t="shared" si="1"/>
        <v>4823</v>
      </c>
      <c r="D91" s="7"/>
      <c r="E91" s="3"/>
      <c r="F91" s="7"/>
      <c r="G91" s="6"/>
      <c r="H91" s="7"/>
      <c r="I91" s="8"/>
      <c r="J91" s="7"/>
      <c r="K91" s="10"/>
      <c r="L91" s="7"/>
      <c r="M91" s="3"/>
      <c r="N91" s="7"/>
      <c r="O91" s="3"/>
      <c r="P91" s="3"/>
      <c r="Q91" s="7"/>
      <c r="R91" s="3"/>
      <c r="S91" s="7"/>
      <c r="T91" s="3"/>
      <c r="U91" s="7"/>
      <c r="V91" s="3"/>
      <c r="W91" s="7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2:38">
      <c r="B92" s="57">
        <f t="shared" si="2"/>
        <v>45292</v>
      </c>
      <c r="C92" s="55">
        <f t="shared" si="1"/>
        <v>4958</v>
      </c>
      <c r="D92" s="7"/>
      <c r="E92" s="3"/>
      <c r="F92" s="3"/>
      <c r="G92" s="7"/>
      <c r="H92" s="7"/>
      <c r="I92" s="7"/>
      <c r="J92" s="7"/>
      <c r="K92" s="6"/>
      <c r="L92" s="3"/>
      <c r="M92" s="3"/>
      <c r="N92" s="3"/>
      <c r="O92" s="3"/>
      <c r="P92" s="3"/>
      <c r="Q92" s="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2:38">
      <c r="B93" s="57">
        <f t="shared" si="2"/>
        <v>45323</v>
      </c>
      <c r="C93" s="55">
        <f t="shared" si="1"/>
        <v>6374</v>
      </c>
      <c r="D93" s="3"/>
      <c r="E93" s="3"/>
      <c r="F93" s="3"/>
      <c r="G93" s="6"/>
      <c r="H93" s="7"/>
      <c r="I93" s="7"/>
      <c r="J93" s="7"/>
      <c r="K93" s="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2:38">
      <c r="B94" s="57">
        <f t="shared" si="2"/>
        <v>45352</v>
      </c>
      <c r="C94" s="55">
        <f t="shared" si="1"/>
        <v>7045</v>
      </c>
      <c r="D94" s="3"/>
      <c r="E94" s="3"/>
      <c r="F94" s="3"/>
      <c r="G94" s="7"/>
      <c r="H94" s="7"/>
      <c r="I94" s="6"/>
      <c r="J94" s="3"/>
      <c r="K94" s="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2:38">
      <c r="B95" s="57">
        <f>A42</f>
        <v>45383</v>
      </c>
      <c r="C95" s="55">
        <f t="shared" si="1"/>
        <v>8656</v>
      </c>
      <c r="D95" s="3"/>
      <c r="E95" s="3"/>
      <c r="F95" s="3"/>
      <c r="G95" s="7"/>
      <c r="H95" s="6"/>
      <c r="I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2:38">
      <c r="B96" s="57">
        <f t="shared" si="2"/>
        <v>45413</v>
      </c>
      <c r="C96" s="55">
        <f t="shared" si="1"/>
        <v>9440</v>
      </c>
      <c r="D96" s="3"/>
      <c r="E96" s="3"/>
      <c r="F96" s="3"/>
      <c r="G96" s="3"/>
      <c r="H96" s="7"/>
      <c r="I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2:38">
      <c r="B97" s="57">
        <f t="shared" si="2"/>
        <v>45444</v>
      </c>
      <c r="C97" s="55">
        <f t="shared" si="1"/>
        <v>8674</v>
      </c>
      <c r="D97" s="3"/>
      <c r="E97" s="3"/>
      <c r="F97" s="3"/>
      <c r="G97" s="3"/>
      <c r="H97" s="7"/>
      <c r="I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2:38">
      <c r="B98" s="57">
        <f t="shared" si="2"/>
        <v>45474</v>
      </c>
      <c r="C98" s="55">
        <f t="shared" si="1"/>
        <v>8958</v>
      </c>
      <c r="D98" s="3"/>
      <c r="E98" s="3"/>
      <c r="F98" s="3"/>
      <c r="G98" s="3"/>
      <c r="H98" s="6"/>
      <c r="I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2:38">
      <c r="B99" s="57">
        <f t="shared" si="2"/>
        <v>45505</v>
      </c>
      <c r="C99" s="55">
        <f t="shared" si="1"/>
        <v>9587</v>
      </c>
      <c r="H99" s="7"/>
      <c r="I99" s="7"/>
    </row>
    <row r="100" spans="2:38">
      <c r="B100" s="57">
        <f t="shared" si="2"/>
        <v>45536</v>
      </c>
      <c r="C100" s="55">
        <f t="shared" si="1"/>
        <v>8947</v>
      </c>
      <c r="H100" s="7"/>
      <c r="I100" s="6"/>
    </row>
    <row r="101" spans="2:38">
      <c r="B101" s="57">
        <f t="shared" si="2"/>
        <v>45566</v>
      </c>
      <c r="C101" s="55">
        <f t="shared" si="1"/>
        <v>10802</v>
      </c>
      <c r="H101" s="7"/>
      <c r="I101" s="6"/>
    </row>
    <row r="102" spans="2:38">
      <c r="B102" s="57">
        <f t="shared" si="2"/>
        <v>45597</v>
      </c>
      <c r="C102" s="55">
        <f t="shared" si="1"/>
        <v>8175</v>
      </c>
      <c r="H102" s="7"/>
      <c r="I102" s="7"/>
    </row>
    <row r="103" spans="2:38">
      <c r="B103" s="57">
        <f t="shared" si="2"/>
        <v>45627</v>
      </c>
      <c r="C103" s="55">
        <f t="shared" si="1"/>
        <v>6031</v>
      </c>
      <c r="H103" s="6"/>
      <c r="I103" s="7"/>
    </row>
    <row r="104" spans="2:38">
      <c r="B104" s="53"/>
      <c r="H104" s="7"/>
      <c r="I104" s="7"/>
    </row>
    <row r="105" spans="2:38">
      <c r="H105" s="7"/>
      <c r="I105" s="6"/>
    </row>
    <row r="106" spans="2:38">
      <c r="I106" s="7"/>
    </row>
    <row r="107" spans="2:38">
      <c r="I107" s="7"/>
    </row>
  </sheetData>
  <mergeCells count="1">
    <mergeCell ref="B52:D53"/>
  </mergeCells>
  <dataValidations count="1">
    <dataValidation type="list" allowBlank="1" showInputMessage="1" showErrorMessage="1" sqref="C55" xr:uid="{4275A85B-B803-497B-9AC9-C6900F295105}">
      <formula1>$B$1:$AM$1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9761-80FE-4D42-94AA-715D9A67E885}">
  <dimension ref="A1:AS179"/>
  <sheetViews>
    <sheetView topLeftCell="A49" workbookViewId="0">
      <pane xSplit="1" topLeftCell="B1" activePane="topRight" state="frozen"/>
      <selection pane="topRight" activeCell="I3" sqref="I3"/>
    </sheetView>
  </sheetViews>
  <sheetFormatPr defaultRowHeight="15"/>
  <cols>
    <col min="1" max="1" width="9.125" style="1"/>
    <col min="2" max="2" width="12.25" bestFit="1" customWidth="1"/>
    <col min="3" max="3" width="9.75" customWidth="1"/>
    <col min="4" max="4" width="10.375" customWidth="1"/>
    <col min="5" max="5" width="10.125" customWidth="1"/>
    <col min="15" max="16" width="9.875" customWidth="1"/>
    <col min="21" max="21" width="9.75" customWidth="1"/>
    <col min="34" max="35" width="6.875" customWidth="1"/>
    <col min="39" max="39" width="10.875" customWidth="1"/>
  </cols>
  <sheetData>
    <row r="1" spans="1:39" s="1" customFormat="1">
      <c r="A1" s="1" t="s">
        <v>1</v>
      </c>
      <c r="B1" s="32">
        <v>3</v>
      </c>
      <c r="C1" s="31">
        <v>4</v>
      </c>
      <c r="D1" s="32">
        <v>5</v>
      </c>
      <c r="E1" s="31">
        <v>6</v>
      </c>
      <c r="F1" s="32">
        <v>7</v>
      </c>
      <c r="G1" s="31">
        <v>8</v>
      </c>
      <c r="H1" s="31">
        <v>9</v>
      </c>
      <c r="I1" s="32">
        <v>14</v>
      </c>
      <c r="J1" s="32">
        <v>17</v>
      </c>
      <c r="K1" s="32">
        <v>18</v>
      </c>
      <c r="L1" s="31">
        <v>19</v>
      </c>
      <c r="M1" s="32">
        <v>21</v>
      </c>
      <c r="N1" s="32">
        <v>22</v>
      </c>
      <c r="O1" s="31">
        <v>23</v>
      </c>
      <c r="P1" s="31">
        <v>25</v>
      </c>
      <c r="Q1" s="32">
        <v>28</v>
      </c>
      <c r="R1" s="32">
        <v>29</v>
      </c>
      <c r="S1" s="32">
        <v>34</v>
      </c>
      <c r="T1" s="36">
        <v>41</v>
      </c>
      <c r="U1" s="32">
        <v>42</v>
      </c>
      <c r="V1" s="32">
        <v>50</v>
      </c>
      <c r="W1" s="32">
        <v>52</v>
      </c>
      <c r="X1" s="32">
        <v>55</v>
      </c>
      <c r="Y1" s="31">
        <v>56</v>
      </c>
      <c r="Z1" s="31">
        <v>64</v>
      </c>
      <c r="AA1" s="36">
        <v>70</v>
      </c>
      <c r="AB1" s="32">
        <v>71</v>
      </c>
      <c r="AC1" s="31">
        <v>72</v>
      </c>
      <c r="AD1" s="31">
        <v>75</v>
      </c>
      <c r="AE1" s="32">
        <v>76</v>
      </c>
      <c r="AF1" s="31">
        <v>77</v>
      </c>
      <c r="AG1" s="31">
        <v>79</v>
      </c>
      <c r="AH1" s="31">
        <v>84</v>
      </c>
      <c r="AI1" s="36">
        <v>86</v>
      </c>
      <c r="AJ1" s="36">
        <v>93</v>
      </c>
      <c r="AK1" s="36">
        <v>96</v>
      </c>
      <c r="AL1" s="1">
        <v>97</v>
      </c>
      <c r="AM1" s="1" t="s">
        <v>2</v>
      </c>
    </row>
    <row r="2" spans="1:39" s="1" customFormat="1">
      <c r="A2" s="62" t="s">
        <v>5</v>
      </c>
      <c r="B2" s="62"/>
      <c r="C2" s="62"/>
      <c r="D2" s="62"/>
      <c r="E2" s="62"/>
      <c r="F2" s="7"/>
      <c r="G2" s="7"/>
      <c r="H2" s="7"/>
      <c r="I2" s="6"/>
      <c r="J2" s="7"/>
      <c r="K2" s="6"/>
      <c r="L2" s="7"/>
      <c r="M2" s="6"/>
      <c r="N2" s="7"/>
      <c r="O2" s="7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7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7"/>
    </row>
    <row r="3" spans="1:39" s="1" customFormat="1">
      <c r="A3" s="16">
        <v>44197</v>
      </c>
      <c r="B3" s="11">
        <v>2847.52</v>
      </c>
      <c r="C3" s="11">
        <v>2255.2799999999997</v>
      </c>
      <c r="D3" s="11">
        <v>2930.9700000000003</v>
      </c>
      <c r="E3" s="11">
        <v>827.51</v>
      </c>
      <c r="F3" s="11">
        <v>2857.81</v>
      </c>
      <c r="G3" s="11">
        <v>2536.3000000000002</v>
      </c>
      <c r="H3" s="30">
        <v>0</v>
      </c>
      <c r="I3" s="11">
        <v>1551.96</v>
      </c>
      <c r="J3" s="11">
        <v>983.40000000000009</v>
      </c>
      <c r="K3" s="11">
        <v>970.87</v>
      </c>
      <c r="L3" s="11">
        <v>2131.61</v>
      </c>
      <c r="M3" s="11">
        <v>233.67</v>
      </c>
      <c r="N3" s="11">
        <v>5641.21</v>
      </c>
      <c r="O3" s="11">
        <v>5925.41</v>
      </c>
      <c r="P3" s="11">
        <v>556.72</v>
      </c>
      <c r="Q3" s="11">
        <v>855.66</v>
      </c>
      <c r="R3" s="11">
        <v>2471.19</v>
      </c>
      <c r="S3" s="11">
        <v>1115.5</v>
      </c>
      <c r="T3" s="40"/>
      <c r="U3" s="11">
        <v>1413.11</v>
      </c>
      <c r="V3" s="11">
        <v>6615.52</v>
      </c>
      <c r="W3" s="11">
        <v>10065.92</v>
      </c>
      <c r="X3" s="11">
        <v>12560.47</v>
      </c>
      <c r="Y3" s="11">
        <v>13914.45</v>
      </c>
      <c r="Z3" s="11">
        <v>0</v>
      </c>
      <c r="AA3" s="11"/>
      <c r="AB3" s="11">
        <v>0</v>
      </c>
      <c r="AC3" s="11">
        <v>113.62</v>
      </c>
      <c r="AD3" s="11">
        <v>0</v>
      </c>
      <c r="AE3" s="11">
        <v>836.82999999999993</v>
      </c>
      <c r="AF3" s="11">
        <v>155.85</v>
      </c>
      <c r="AG3" s="11">
        <v>0</v>
      </c>
      <c r="AH3" s="30">
        <v>0</v>
      </c>
      <c r="AI3" s="40"/>
      <c r="AJ3" s="30">
        <v>0</v>
      </c>
      <c r="AK3" s="40">
        <v>0</v>
      </c>
      <c r="AL3" s="11"/>
      <c r="AM3" s="22">
        <v>2496.0109090909091</v>
      </c>
    </row>
    <row r="4" spans="1:39" s="1" customFormat="1">
      <c r="A4" s="16">
        <v>44228</v>
      </c>
      <c r="B4" s="11">
        <v>2147</v>
      </c>
      <c r="C4" s="11">
        <v>1438</v>
      </c>
      <c r="D4" s="11">
        <v>1513</v>
      </c>
      <c r="E4" s="11">
        <v>380</v>
      </c>
      <c r="F4" s="11">
        <v>2046</v>
      </c>
      <c r="G4" s="11">
        <v>1684</v>
      </c>
      <c r="H4" s="30">
        <v>0</v>
      </c>
      <c r="I4" s="11">
        <v>737</v>
      </c>
      <c r="J4" s="11">
        <v>877</v>
      </c>
      <c r="K4" s="11">
        <v>581</v>
      </c>
      <c r="L4" s="11">
        <v>1085</v>
      </c>
      <c r="M4" s="11">
        <v>147</v>
      </c>
      <c r="N4" s="11">
        <v>3572</v>
      </c>
      <c r="O4" s="11">
        <v>3820</v>
      </c>
      <c r="P4" s="11">
        <v>268</v>
      </c>
      <c r="Q4" s="11">
        <v>474</v>
      </c>
      <c r="R4" s="11">
        <v>1331</v>
      </c>
      <c r="S4" s="11">
        <v>630</v>
      </c>
      <c r="T4" s="40"/>
      <c r="U4" s="11">
        <v>714</v>
      </c>
      <c r="V4" s="11">
        <v>4229</v>
      </c>
      <c r="W4" s="11">
        <v>6915</v>
      </c>
      <c r="X4" s="11">
        <v>8735</v>
      </c>
      <c r="Y4" s="11">
        <v>9130</v>
      </c>
      <c r="Z4" s="11">
        <v>0</v>
      </c>
      <c r="AA4" s="11"/>
      <c r="AB4" s="11">
        <v>0</v>
      </c>
      <c r="AC4" s="11">
        <v>65</v>
      </c>
      <c r="AD4" s="11">
        <v>0</v>
      </c>
      <c r="AE4" s="11">
        <v>485</v>
      </c>
      <c r="AF4" s="11">
        <v>77</v>
      </c>
      <c r="AG4" s="11">
        <v>0</v>
      </c>
      <c r="AH4" s="30">
        <v>0</v>
      </c>
      <c r="AI4" s="40"/>
      <c r="AJ4" s="30">
        <v>0</v>
      </c>
      <c r="AK4" s="40">
        <v>0</v>
      </c>
      <c r="AL4" s="11"/>
      <c r="AM4" s="22">
        <v>1608.4848484848485</v>
      </c>
    </row>
    <row r="5" spans="1:39" s="1" customFormat="1">
      <c r="A5" s="16">
        <v>44256</v>
      </c>
      <c r="B5" s="11">
        <v>2262</v>
      </c>
      <c r="C5" s="11">
        <v>1672</v>
      </c>
      <c r="D5" s="11">
        <v>2287</v>
      </c>
      <c r="E5" s="11">
        <v>536</v>
      </c>
      <c r="F5" s="11">
        <v>2177</v>
      </c>
      <c r="G5" s="11">
        <v>1814</v>
      </c>
      <c r="H5" s="30">
        <v>0</v>
      </c>
      <c r="I5" s="11">
        <v>903</v>
      </c>
      <c r="J5" s="11">
        <v>914</v>
      </c>
      <c r="K5" s="11">
        <v>675</v>
      </c>
      <c r="L5" s="11">
        <v>1557</v>
      </c>
      <c r="M5" s="11">
        <v>203</v>
      </c>
      <c r="N5" s="11">
        <v>3950</v>
      </c>
      <c r="O5" s="11">
        <v>4338</v>
      </c>
      <c r="P5" s="11">
        <v>370</v>
      </c>
      <c r="Q5" s="11">
        <v>488</v>
      </c>
      <c r="R5" s="11">
        <v>1347</v>
      </c>
      <c r="S5" s="11">
        <v>1019</v>
      </c>
      <c r="T5" s="40"/>
      <c r="U5" s="11">
        <v>970</v>
      </c>
      <c r="V5" s="11">
        <v>4595</v>
      </c>
      <c r="W5" s="11">
        <v>7372</v>
      </c>
      <c r="X5" s="11">
        <v>10180</v>
      </c>
      <c r="Y5" s="11">
        <v>9953</v>
      </c>
      <c r="Z5" s="11">
        <v>0</v>
      </c>
      <c r="AA5" s="11"/>
      <c r="AB5" s="11">
        <v>0</v>
      </c>
      <c r="AC5" s="11">
        <v>80</v>
      </c>
      <c r="AD5" s="11">
        <v>0</v>
      </c>
      <c r="AE5" s="11">
        <v>691</v>
      </c>
      <c r="AF5" s="11">
        <v>87</v>
      </c>
      <c r="AG5" s="11">
        <v>0</v>
      </c>
      <c r="AH5" s="30">
        <v>0</v>
      </c>
      <c r="AI5" s="40"/>
      <c r="AJ5" s="30">
        <v>0</v>
      </c>
      <c r="AK5" s="40">
        <v>0</v>
      </c>
      <c r="AL5" s="11"/>
      <c r="AM5" s="22">
        <v>1831.5151515151515</v>
      </c>
    </row>
    <row r="6" spans="1:39" s="1" customFormat="1">
      <c r="A6" s="16">
        <v>44287</v>
      </c>
      <c r="B6" s="11">
        <v>2479</v>
      </c>
      <c r="C6" s="11">
        <v>1687</v>
      </c>
      <c r="D6" s="11">
        <v>2357</v>
      </c>
      <c r="E6" s="11">
        <v>826</v>
      </c>
      <c r="F6" s="11">
        <v>2500</v>
      </c>
      <c r="G6" s="11">
        <v>1913</v>
      </c>
      <c r="H6" s="30">
        <v>0</v>
      </c>
      <c r="I6" s="11">
        <v>1067</v>
      </c>
      <c r="J6" s="11">
        <v>1157</v>
      </c>
      <c r="K6" s="11">
        <v>889</v>
      </c>
      <c r="L6" s="11">
        <v>1786</v>
      </c>
      <c r="M6" s="11">
        <v>176</v>
      </c>
      <c r="N6" s="11">
        <v>4250</v>
      </c>
      <c r="O6" s="11">
        <v>4749</v>
      </c>
      <c r="P6" s="11">
        <v>217</v>
      </c>
      <c r="Q6" s="11">
        <v>569</v>
      </c>
      <c r="R6" s="11">
        <v>1447</v>
      </c>
      <c r="S6" s="11">
        <v>998</v>
      </c>
      <c r="T6" s="40"/>
      <c r="U6" s="11">
        <v>1042</v>
      </c>
      <c r="V6" s="11">
        <v>5139</v>
      </c>
      <c r="W6" s="11">
        <v>8143</v>
      </c>
      <c r="X6" s="11">
        <v>11372</v>
      </c>
      <c r="Y6" s="11">
        <v>10098</v>
      </c>
      <c r="Z6" s="11">
        <v>0</v>
      </c>
      <c r="AA6" s="11"/>
      <c r="AB6" s="11">
        <v>0</v>
      </c>
      <c r="AC6" s="11">
        <v>41</v>
      </c>
      <c r="AD6" s="11">
        <v>0</v>
      </c>
      <c r="AE6" s="11">
        <v>500</v>
      </c>
      <c r="AF6" s="11">
        <v>119</v>
      </c>
      <c r="AG6" s="11">
        <v>0</v>
      </c>
      <c r="AH6" s="30">
        <v>0</v>
      </c>
      <c r="AI6" s="40"/>
      <c r="AJ6" s="30">
        <v>0</v>
      </c>
      <c r="AK6" s="40">
        <v>0</v>
      </c>
      <c r="AL6" s="11"/>
      <c r="AM6" s="22">
        <v>1985.4848484848485</v>
      </c>
    </row>
    <row r="7" spans="1:39" s="1" customFormat="1">
      <c r="A7" s="16">
        <v>44317</v>
      </c>
      <c r="B7" s="11">
        <v>3010</v>
      </c>
      <c r="C7" s="11">
        <v>2103</v>
      </c>
      <c r="D7" s="11">
        <v>3134</v>
      </c>
      <c r="E7" s="11">
        <v>1274</v>
      </c>
      <c r="F7" s="11">
        <v>3353</v>
      </c>
      <c r="G7" s="11">
        <v>2350</v>
      </c>
      <c r="H7" s="30">
        <v>0</v>
      </c>
      <c r="I7" s="11">
        <v>1430</v>
      </c>
      <c r="J7" s="11">
        <v>1352</v>
      </c>
      <c r="K7" s="11">
        <v>1034</v>
      </c>
      <c r="L7" s="11">
        <v>2028</v>
      </c>
      <c r="M7" s="11">
        <v>134</v>
      </c>
      <c r="N7" s="11">
        <v>5303</v>
      </c>
      <c r="O7" s="11">
        <v>6900</v>
      </c>
      <c r="P7" s="11">
        <v>120</v>
      </c>
      <c r="Q7" s="11">
        <v>773</v>
      </c>
      <c r="R7" s="11">
        <v>1770</v>
      </c>
      <c r="S7" s="11">
        <v>1138</v>
      </c>
      <c r="T7" s="40"/>
      <c r="U7" s="11">
        <v>1206</v>
      </c>
      <c r="V7" s="11">
        <v>5814</v>
      </c>
      <c r="W7" s="11">
        <v>10281</v>
      </c>
      <c r="X7" s="11">
        <v>15131</v>
      </c>
      <c r="Y7" s="11">
        <v>13122</v>
      </c>
      <c r="Z7" s="11">
        <v>0</v>
      </c>
      <c r="AA7" s="11"/>
      <c r="AB7" s="11">
        <v>0</v>
      </c>
      <c r="AC7" s="11">
        <v>0</v>
      </c>
      <c r="AD7" s="11">
        <v>0</v>
      </c>
      <c r="AE7" s="11">
        <v>1043</v>
      </c>
      <c r="AF7" s="11">
        <v>181</v>
      </c>
      <c r="AG7" s="11">
        <v>0</v>
      </c>
      <c r="AH7" s="30">
        <v>0</v>
      </c>
      <c r="AI7" s="40"/>
      <c r="AJ7" s="30">
        <v>0</v>
      </c>
      <c r="AK7" s="11">
        <v>0</v>
      </c>
      <c r="AL7" s="11"/>
      <c r="AM7" s="22">
        <v>2544.969696969697</v>
      </c>
    </row>
    <row r="8" spans="1:39" s="1" customFormat="1">
      <c r="A8" s="16">
        <v>44348</v>
      </c>
      <c r="B8" s="11">
        <v>2480</v>
      </c>
      <c r="C8" s="11">
        <v>1862</v>
      </c>
      <c r="D8" s="11">
        <v>2539</v>
      </c>
      <c r="E8" s="11">
        <v>1173</v>
      </c>
      <c r="F8" s="11">
        <v>3077</v>
      </c>
      <c r="G8" s="11">
        <v>2043</v>
      </c>
      <c r="H8" s="30">
        <v>0</v>
      </c>
      <c r="I8" s="11">
        <v>1112</v>
      </c>
      <c r="J8" s="11">
        <v>1300</v>
      </c>
      <c r="K8" s="11">
        <v>884</v>
      </c>
      <c r="L8" s="11">
        <v>1731</v>
      </c>
      <c r="M8" s="11">
        <v>125</v>
      </c>
      <c r="N8" s="11">
        <v>4475</v>
      </c>
      <c r="O8" s="11">
        <v>5907</v>
      </c>
      <c r="P8" s="11">
        <v>126</v>
      </c>
      <c r="Q8" s="11">
        <v>716</v>
      </c>
      <c r="R8" s="11">
        <v>1392</v>
      </c>
      <c r="S8" s="11">
        <v>1293</v>
      </c>
      <c r="T8" s="40"/>
      <c r="U8" s="11">
        <v>960</v>
      </c>
      <c r="V8" s="11">
        <v>5455</v>
      </c>
      <c r="W8" s="11">
        <v>8913</v>
      </c>
      <c r="X8" s="11">
        <v>13198</v>
      </c>
      <c r="Y8" s="11">
        <v>11550</v>
      </c>
      <c r="Z8" s="11">
        <v>0</v>
      </c>
      <c r="AA8" s="11"/>
      <c r="AB8" s="11">
        <v>0</v>
      </c>
      <c r="AC8" s="11">
        <v>0</v>
      </c>
      <c r="AD8" s="11">
        <v>0</v>
      </c>
      <c r="AE8" s="11">
        <v>901</v>
      </c>
      <c r="AF8" s="11">
        <v>204</v>
      </c>
      <c r="AG8" s="11">
        <v>0</v>
      </c>
      <c r="AH8" s="30">
        <v>0</v>
      </c>
      <c r="AI8" s="40"/>
      <c r="AJ8" s="30">
        <v>0</v>
      </c>
      <c r="AK8" s="11">
        <v>0</v>
      </c>
      <c r="AL8" s="11"/>
      <c r="AM8" s="22">
        <v>2224.7272727272725</v>
      </c>
    </row>
    <row r="9" spans="1:39" s="1" customFormat="1">
      <c r="A9" s="16">
        <v>44378</v>
      </c>
      <c r="B9" s="11">
        <v>2842</v>
      </c>
      <c r="C9" s="11">
        <v>2260</v>
      </c>
      <c r="D9" s="11">
        <v>3075</v>
      </c>
      <c r="E9" s="11">
        <v>1490</v>
      </c>
      <c r="F9" s="11">
        <v>3477</v>
      </c>
      <c r="G9" s="11">
        <v>2500</v>
      </c>
      <c r="H9" s="30">
        <v>0</v>
      </c>
      <c r="I9" s="11">
        <v>1148</v>
      </c>
      <c r="J9" s="11">
        <v>1402</v>
      </c>
      <c r="K9" s="11">
        <v>964</v>
      </c>
      <c r="L9" s="11">
        <v>2148</v>
      </c>
      <c r="M9" s="11">
        <v>150</v>
      </c>
      <c r="N9" s="11">
        <v>5022</v>
      </c>
      <c r="O9" s="11">
        <v>6878</v>
      </c>
      <c r="P9" s="11">
        <v>125</v>
      </c>
      <c r="Q9" s="11">
        <v>774</v>
      </c>
      <c r="R9" s="11">
        <v>1687</v>
      </c>
      <c r="S9" s="11">
        <v>1530</v>
      </c>
      <c r="T9" s="40"/>
      <c r="U9" s="11">
        <v>1319</v>
      </c>
      <c r="V9" s="11">
        <v>6298</v>
      </c>
      <c r="W9" s="11">
        <v>10175</v>
      </c>
      <c r="X9" s="11">
        <v>17125</v>
      </c>
      <c r="Y9" s="11">
        <v>13220</v>
      </c>
      <c r="Z9" s="11">
        <v>0</v>
      </c>
      <c r="AA9" s="11"/>
      <c r="AB9" s="11">
        <v>0</v>
      </c>
      <c r="AC9" s="11">
        <v>0</v>
      </c>
      <c r="AD9" s="11">
        <v>0</v>
      </c>
      <c r="AE9" s="11">
        <v>998</v>
      </c>
      <c r="AF9" s="11">
        <v>300</v>
      </c>
      <c r="AG9" s="11">
        <v>0</v>
      </c>
      <c r="AH9" s="30">
        <v>0</v>
      </c>
      <c r="AI9" s="40"/>
      <c r="AJ9" s="30">
        <v>0</v>
      </c>
      <c r="AK9" s="11">
        <v>0</v>
      </c>
      <c r="AL9" s="11"/>
      <c r="AM9" s="22">
        <v>2633.5454545454545</v>
      </c>
    </row>
    <row r="10" spans="1:39" s="1" customFormat="1">
      <c r="A10" s="16">
        <v>44409</v>
      </c>
      <c r="B10" s="11">
        <v>3073</v>
      </c>
      <c r="C10" s="11">
        <v>2181</v>
      </c>
      <c r="D10" s="11">
        <v>3200</v>
      </c>
      <c r="E10" s="11">
        <v>1347</v>
      </c>
      <c r="F10" s="11">
        <v>3900</v>
      </c>
      <c r="G10" s="11">
        <v>2625</v>
      </c>
      <c r="H10" s="30">
        <v>0</v>
      </c>
      <c r="I10" s="11">
        <v>1207</v>
      </c>
      <c r="J10" s="11">
        <v>1462</v>
      </c>
      <c r="K10" s="11">
        <v>1168</v>
      </c>
      <c r="L10" s="11">
        <v>2119</v>
      </c>
      <c r="M10" s="11">
        <v>136</v>
      </c>
      <c r="N10" s="11">
        <v>4683</v>
      </c>
      <c r="O10" s="11">
        <v>7020</v>
      </c>
      <c r="P10" s="11">
        <v>132</v>
      </c>
      <c r="Q10" s="11">
        <v>788</v>
      </c>
      <c r="R10" s="11">
        <v>1543</v>
      </c>
      <c r="S10" s="11">
        <v>1405</v>
      </c>
      <c r="T10" s="40"/>
      <c r="U10" s="11">
        <v>1243</v>
      </c>
      <c r="V10" s="11">
        <v>5909</v>
      </c>
      <c r="W10" s="11">
        <v>10626</v>
      </c>
      <c r="X10" s="11">
        <v>16932</v>
      </c>
      <c r="Y10" s="11">
        <v>12902</v>
      </c>
      <c r="Z10" s="11">
        <v>0</v>
      </c>
      <c r="AA10" s="11"/>
      <c r="AB10" s="11">
        <v>0</v>
      </c>
      <c r="AC10" s="11">
        <v>0</v>
      </c>
      <c r="AD10" s="11">
        <v>0</v>
      </c>
      <c r="AE10" s="11">
        <v>983</v>
      </c>
      <c r="AF10" s="11">
        <v>257</v>
      </c>
      <c r="AG10" s="11">
        <v>0</v>
      </c>
      <c r="AH10" s="30">
        <v>0</v>
      </c>
      <c r="AI10" s="40"/>
      <c r="AJ10" s="30">
        <v>0</v>
      </c>
      <c r="AK10" s="11">
        <v>0</v>
      </c>
      <c r="AL10" s="11"/>
      <c r="AM10" s="22">
        <v>2631.5454545454545</v>
      </c>
    </row>
    <row r="11" spans="1:39" s="1" customFormat="1">
      <c r="A11" s="16">
        <v>44440</v>
      </c>
      <c r="B11" s="11">
        <v>2994</v>
      </c>
      <c r="C11" s="11">
        <v>1684</v>
      </c>
      <c r="D11" s="11">
        <v>2913</v>
      </c>
      <c r="E11" s="11">
        <v>1192</v>
      </c>
      <c r="F11" s="11">
        <v>3993</v>
      </c>
      <c r="G11" s="11">
        <v>2312</v>
      </c>
      <c r="H11" s="30">
        <v>0</v>
      </c>
      <c r="I11" s="11">
        <v>990</v>
      </c>
      <c r="J11" s="11">
        <v>1403</v>
      </c>
      <c r="K11" s="11">
        <v>1106</v>
      </c>
      <c r="L11" s="11">
        <v>1901</v>
      </c>
      <c r="M11" s="11">
        <v>162</v>
      </c>
      <c r="N11" s="11">
        <v>4072</v>
      </c>
      <c r="O11" s="11">
        <v>6444</v>
      </c>
      <c r="P11" s="11">
        <v>142</v>
      </c>
      <c r="Q11" s="11">
        <v>640</v>
      </c>
      <c r="R11" s="11">
        <v>1527</v>
      </c>
      <c r="S11" s="11">
        <v>1156</v>
      </c>
      <c r="T11" s="40"/>
      <c r="U11" s="11">
        <v>1197</v>
      </c>
      <c r="V11" s="11">
        <v>5876</v>
      </c>
      <c r="W11" s="11">
        <v>9469</v>
      </c>
      <c r="X11" s="11">
        <v>15209</v>
      </c>
      <c r="Y11" s="11">
        <v>11204</v>
      </c>
      <c r="Z11" s="11">
        <v>0</v>
      </c>
      <c r="AA11" s="11"/>
      <c r="AB11" s="11">
        <v>0</v>
      </c>
      <c r="AC11" s="11">
        <v>0</v>
      </c>
      <c r="AD11" s="11">
        <v>0</v>
      </c>
      <c r="AE11" s="11">
        <v>909</v>
      </c>
      <c r="AF11" s="11">
        <v>202</v>
      </c>
      <c r="AG11" s="11">
        <v>0</v>
      </c>
      <c r="AH11" s="30">
        <v>0</v>
      </c>
      <c r="AI11" s="40"/>
      <c r="AJ11" s="30">
        <v>0</v>
      </c>
      <c r="AK11" s="11">
        <v>0</v>
      </c>
      <c r="AL11" s="11"/>
      <c r="AM11" s="22">
        <v>2384.757575757576</v>
      </c>
    </row>
    <row r="12" spans="1:39" s="1" customFormat="1">
      <c r="A12" s="16">
        <v>44470</v>
      </c>
      <c r="B12" s="11">
        <v>3913</v>
      </c>
      <c r="C12" s="11">
        <v>2530</v>
      </c>
      <c r="D12" s="11">
        <v>4205</v>
      </c>
      <c r="E12" s="11">
        <v>1713</v>
      </c>
      <c r="F12" s="11">
        <v>4999</v>
      </c>
      <c r="G12" s="11">
        <v>3156</v>
      </c>
      <c r="H12" s="30">
        <v>0</v>
      </c>
      <c r="I12" s="11">
        <v>1580</v>
      </c>
      <c r="J12" s="11">
        <v>1934</v>
      </c>
      <c r="K12" s="11">
        <v>1429</v>
      </c>
      <c r="L12" s="11">
        <v>2725</v>
      </c>
      <c r="M12" s="11">
        <v>185</v>
      </c>
      <c r="N12" s="11">
        <v>5864</v>
      </c>
      <c r="O12" s="11">
        <v>8716</v>
      </c>
      <c r="P12" s="11">
        <v>177</v>
      </c>
      <c r="Q12" s="11">
        <v>922</v>
      </c>
      <c r="R12" s="11">
        <v>2071</v>
      </c>
      <c r="S12" s="11">
        <v>1762</v>
      </c>
      <c r="T12" s="40"/>
      <c r="U12" s="11">
        <v>1540</v>
      </c>
      <c r="V12" s="11">
        <v>7868</v>
      </c>
      <c r="W12" s="11">
        <v>13054</v>
      </c>
      <c r="X12" s="11">
        <v>21715</v>
      </c>
      <c r="Y12" s="11">
        <v>15760</v>
      </c>
      <c r="Z12" s="30">
        <v>0</v>
      </c>
      <c r="AA12" s="11"/>
      <c r="AB12" s="11">
        <v>0</v>
      </c>
      <c r="AC12" s="11">
        <v>0</v>
      </c>
      <c r="AD12" s="11">
        <v>0</v>
      </c>
      <c r="AE12" s="11">
        <v>1329</v>
      </c>
      <c r="AF12" s="11">
        <v>247</v>
      </c>
      <c r="AG12" s="11">
        <v>0</v>
      </c>
      <c r="AH12" s="30">
        <v>0</v>
      </c>
      <c r="AI12" s="40"/>
      <c r="AJ12" s="30">
        <v>0</v>
      </c>
      <c r="AK12" s="11">
        <v>0</v>
      </c>
      <c r="AL12" s="11"/>
      <c r="AM12" s="22">
        <v>3314.969696969697</v>
      </c>
    </row>
    <row r="13" spans="1:39" s="1" customFormat="1">
      <c r="A13" s="16">
        <v>44501</v>
      </c>
      <c r="B13" s="11">
        <v>2917</v>
      </c>
      <c r="C13" s="11">
        <v>2117</v>
      </c>
      <c r="D13" s="11">
        <v>3046</v>
      </c>
      <c r="E13" s="11">
        <v>1316</v>
      </c>
      <c r="F13" s="11">
        <v>3570</v>
      </c>
      <c r="G13" s="11">
        <v>2573</v>
      </c>
      <c r="H13" s="30">
        <v>0</v>
      </c>
      <c r="I13" s="11">
        <v>1249</v>
      </c>
      <c r="J13" s="11">
        <v>1384</v>
      </c>
      <c r="K13" s="11">
        <v>1015</v>
      </c>
      <c r="L13" s="11">
        <v>2189</v>
      </c>
      <c r="M13" s="11">
        <v>179</v>
      </c>
      <c r="N13" s="11">
        <v>4336</v>
      </c>
      <c r="O13" s="11">
        <v>6640</v>
      </c>
      <c r="P13" s="11">
        <v>155</v>
      </c>
      <c r="Q13" s="11">
        <v>795</v>
      </c>
      <c r="R13" s="11">
        <v>1576</v>
      </c>
      <c r="S13" s="11">
        <v>1268</v>
      </c>
      <c r="T13" s="40"/>
      <c r="U13" s="11">
        <v>1278</v>
      </c>
      <c r="V13" s="11">
        <v>6180</v>
      </c>
      <c r="W13" s="11">
        <v>9601</v>
      </c>
      <c r="X13" s="11">
        <v>16862</v>
      </c>
      <c r="Y13" s="11">
        <v>12210</v>
      </c>
      <c r="Z13" s="30">
        <v>0</v>
      </c>
      <c r="AA13" s="11"/>
      <c r="AB13" s="11">
        <v>0</v>
      </c>
      <c r="AC13" s="11">
        <v>0</v>
      </c>
      <c r="AD13" s="11">
        <v>0</v>
      </c>
      <c r="AE13" s="11">
        <v>1012</v>
      </c>
      <c r="AF13" s="11">
        <v>216</v>
      </c>
      <c r="AG13" s="11">
        <v>0</v>
      </c>
      <c r="AH13" s="30">
        <v>0</v>
      </c>
      <c r="AI13" s="40"/>
      <c r="AJ13" s="30">
        <v>0</v>
      </c>
      <c r="AK13" s="11">
        <v>0</v>
      </c>
      <c r="AL13" s="11"/>
      <c r="AM13" s="22">
        <v>2535.878787878788</v>
      </c>
    </row>
    <row r="14" spans="1:39" s="1" customFormat="1">
      <c r="A14" s="16">
        <v>44531</v>
      </c>
      <c r="B14" s="11">
        <v>2676</v>
      </c>
      <c r="C14" s="11">
        <v>2028</v>
      </c>
      <c r="D14" s="11">
        <v>2684</v>
      </c>
      <c r="E14" s="11">
        <v>1211</v>
      </c>
      <c r="F14" s="11">
        <v>3184</v>
      </c>
      <c r="G14" s="11">
        <v>2481</v>
      </c>
      <c r="H14" s="30">
        <v>0</v>
      </c>
      <c r="I14" s="11">
        <v>1159</v>
      </c>
      <c r="J14" s="11">
        <v>1194</v>
      </c>
      <c r="K14" s="11">
        <v>904</v>
      </c>
      <c r="L14" s="11">
        <v>1960</v>
      </c>
      <c r="M14" s="11">
        <v>116</v>
      </c>
      <c r="N14" s="11">
        <v>4042</v>
      </c>
      <c r="O14" s="11">
        <v>6019</v>
      </c>
      <c r="P14" s="11">
        <v>104</v>
      </c>
      <c r="Q14" s="11">
        <v>773</v>
      </c>
      <c r="R14" s="11">
        <v>1488</v>
      </c>
      <c r="S14" s="11">
        <v>1211</v>
      </c>
      <c r="T14" s="40"/>
      <c r="U14" s="11">
        <v>1102</v>
      </c>
      <c r="V14" s="11">
        <v>5613</v>
      </c>
      <c r="W14" s="11">
        <v>8898</v>
      </c>
      <c r="X14" s="11">
        <v>15147</v>
      </c>
      <c r="Y14" s="11">
        <v>11428</v>
      </c>
      <c r="Z14" s="30">
        <v>0</v>
      </c>
      <c r="AA14" s="11"/>
      <c r="AB14" s="11">
        <v>0</v>
      </c>
      <c r="AC14" s="11">
        <v>0</v>
      </c>
      <c r="AD14" s="11">
        <v>0</v>
      </c>
      <c r="AE14" s="11">
        <v>988</v>
      </c>
      <c r="AF14" s="11">
        <v>163</v>
      </c>
      <c r="AG14" s="11">
        <v>0</v>
      </c>
      <c r="AH14" s="30">
        <v>0</v>
      </c>
      <c r="AI14" s="40"/>
      <c r="AJ14" s="30">
        <v>0</v>
      </c>
      <c r="AK14" s="11">
        <v>0</v>
      </c>
      <c r="AL14" s="11"/>
      <c r="AM14" s="22">
        <v>2320.3939393939395</v>
      </c>
    </row>
    <row r="15" spans="1:39" s="1" customFormat="1">
      <c r="A15" s="16">
        <v>44562</v>
      </c>
      <c r="B15" s="11">
        <v>2935</v>
      </c>
      <c r="C15" s="11">
        <v>2071</v>
      </c>
      <c r="D15" s="11">
        <v>2978</v>
      </c>
      <c r="E15" s="11">
        <v>1250</v>
      </c>
      <c r="F15" s="11">
        <v>3549</v>
      </c>
      <c r="G15" s="11">
        <v>3079</v>
      </c>
      <c r="H15" s="30">
        <v>0</v>
      </c>
      <c r="I15" s="11">
        <v>1369</v>
      </c>
      <c r="J15" s="11">
        <v>1413</v>
      </c>
      <c r="K15" s="11">
        <v>1001</v>
      </c>
      <c r="L15" s="11">
        <v>2141</v>
      </c>
      <c r="M15" s="11">
        <v>71</v>
      </c>
      <c r="N15" s="11">
        <v>4819</v>
      </c>
      <c r="O15" s="11">
        <v>8567</v>
      </c>
      <c r="P15" s="11">
        <v>109</v>
      </c>
      <c r="Q15" s="11">
        <v>823</v>
      </c>
      <c r="R15" s="11">
        <v>1475</v>
      </c>
      <c r="S15" s="11">
        <v>1073</v>
      </c>
      <c r="T15" s="40"/>
      <c r="U15" s="11">
        <v>1123</v>
      </c>
      <c r="V15" s="11">
        <v>6079</v>
      </c>
      <c r="W15" s="11">
        <v>9837</v>
      </c>
      <c r="X15" s="11">
        <v>16873</v>
      </c>
      <c r="Y15" s="11">
        <v>13172</v>
      </c>
      <c r="Z15" s="30">
        <v>0</v>
      </c>
      <c r="AA15" s="11"/>
      <c r="AB15" s="11">
        <v>0</v>
      </c>
      <c r="AC15" s="11">
        <v>0</v>
      </c>
      <c r="AD15" s="11">
        <v>0</v>
      </c>
      <c r="AE15" s="11">
        <v>905</v>
      </c>
      <c r="AF15" s="11">
        <v>181</v>
      </c>
      <c r="AG15" s="11">
        <v>0</v>
      </c>
      <c r="AH15" s="30">
        <v>0</v>
      </c>
      <c r="AI15" s="40"/>
      <c r="AJ15" s="30">
        <v>0</v>
      </c>
      <c r="AK15" s="11">
        <v>0</v>
      </c>
      <c r="AL15" s="11"/>
      <c r="AM15" s="22">
        <v>2633.121212121212</v>
      </c>
    </row>
    <row r="16" spans="1:39" s="1" customFormat="1">
      <c r="A16" s="16">
        <v>44593</v>
      </c>
      <c r="B16" s="11">
        <v>3095</v>
      </c>
      <c r="C16" s="11">
        <v>2052</v>
      </c>
      <c r="D16" s="11">
        <v>3210</v>
      </c>
      <c r="E16" s="11">
        <v>1263</v>
      </c>
      <c r="F16" s="11">
        <v>3561</v>
      </c>
      <c r="G16" s="11">
        <v>2963</v>
      </c>
      <c r="H16" s="30">
        <v>0</v>
      </c>
      <c r="I16" s="11">
        <v>1250</v>
      </c>
      <c r="J16" s="11">
        <v>1450</v>
      </c>
      <c r="K16" s="11">
        <v>1006</v>
      </c>
      <c r="L16" s="11">
        <v>2159</v>
      </c>
      <c r="M16" s="11">
        <v>132</v>
      </c>
      <c r="N16" s="11">
        <v>4426</v>
      </c>
      <c r="O16" s="11">
        <v>8273</v>
      </c>
      <c r="P16" s="11">
        <v>184</v>
      </c>
      <c r="Q16" s="11">
        <v>680</v>
      </c>
      <c r="R16" s="11">
        <v>1540</v>
      </c>
      <c r="S16" s="11">
        <v>1118</v>
      </c>
      <c r="T16" s="40"/>
      <c r="U16" s="11">
        <v>1209</v>
      </c>
      <c r="V16" s="11">
        <v>5910</v>
      </c>
      <c r="W16" s="11">
        <v>9722</v>
      </c>
      <c r="X16" s="11">
        <v>16682</v>
      </c>
      <c r="Y16" s="11">
        <v>13694</v>
      </c>
      <c r="Z16" s="30">
        <v>0</v>
      </c>
      <c r="AA16" s="11"/>
      <c r="AB16" s="11">
        <v>0</v>
      </c>
      <c r="AC16" s="11">
        <v>0</v>
      </c>
      <c r="AD16" s="11">
        <v>0</v>
      </c>
      <c r="AE16" s="11">
        <v>1048</v>
      </c>
      <c r="AF16" s="11">
        <v>222</v>
      </c>
      <c r="AG16" s="11">
        <v>0</v>
      </c>
      <c r="AH16" s="30">
        <v>0</v>
      </c>
      <c r="AI16" s="40"/>
      <c r="AJ16" s="30">
        <v>0</v>
      </c>
      <c r="AK16" s="11">
        <v>0</v>
      </c>
      <c r="AL16" s="11"/>
      <c r="AM16" s="22">
        <v>2631.787878787879</v>
      </c>
    </row>
    <row r="17" spans="1:39" s="1" customFormat="1">
      <c r="A17" s="16">
        <v>44621</v>
      </c>
      <c r="B17" s="11">
        <v>3009</v>
      </c>
      <c r="C17" s="11">
        <v>2224</v>
      </c>
      <c r="D17" s="11">
        <v>3647</v>
      </c>
      <c r="E17" s="11">
        <v>1297</v>
      </c>
      <c r="F17" s="11">
        <v>3913</v>
      </c>
      <c r="G17" s="11">
        <v>3004</v>
      </c>
      <c r="H17" s="30">
        <v>0</v>
      </c>
      <c r="I17" s="11">
        <v>1351</v>
      </c>
      <c r="J17" s="11">
        <v>1388</v>
      </c>
      <c r="K17" s="11">
        <v>1264</v>
      </c>
      <c r="L17" s="11">
        <v>2206</v>
      </c>
      <c r="M17" s="11">
        <v>144</v>
      </c>
      <c r="N17" s="11">
        <v>4706</v>
      </c>
      <c r="O17" s="11">
        <v>7562</v>
      </c>
      <c r="P17" s="11">
        <v>153</v>
      </c>
      <c r="Q17" s="11">
        <v>723</v>
      </c>
      <c r="R17" s="11">
        <v>1605</v>
      </c>
      <c r="S17" s="11">
        <v>1391</v>
      </c>
      <c r="T17" s="40"/>
      <c r="U17" s="11">
        <v>1304</v>
      </c>
      <c r="V17" s="11">
        <v>6014</v>
      </c>
      <c r="W17" s="11">
        <v>10473</v>
      </c>
      <c r="X17" s="11">
        <v>18093</v>
      </c>
      <c r="Y17" s="11">
        <v>13527</v>
      </c>
      <c r="Z17" s="30">
        <v>0</v>
      </c>
      <c r="AA17" s="11"/>
      <c r="AB17" s="11">
        <v>0</v>
      </c>
      <c r="AC17" s="11">
        <v>0</v>
      </c>
      <c r="AD17" s="11">
        <v>0</v>
      </c>
      <c r="AE17" s="11">
        <v>938</v>
      </c>
      <c r="AF17" s="11">
        <v>239</v>
      </c>
      <c r="AG17" s="11">
        <v>0</v>
      </c>
      <c r="AH17" s="30">
        <v>0</v>
      </c>
      <c r="AI17" s="40"/>
      <c r="AJ17" s="30">
        <v>0</v>
      </c>
      <c r="AK17" s="11">
        <v>0</v>
      </c>
      <c r="AL17" s="11"/>
      <c r="AM17" s="22">
        <v>2732.5757575757575</v>
      </c>
    </row>
    <row r="18" spans="1:39" s="1" customFormat="1">
      <c r="A18" s="16">
        <v>44652</v>
      </c>
      <c r="B18" s="11">
        <v>7688</v>
      </c>
      <c r="C18" s="11">
        <v>2498</v>
      </c>
      <c r="D18" s="11">
        <v>486</v>
      </c>
      <c r="E18" s="11">
        <v>1861</v>
      </c>
      <c r="F18" s="11">
        <v>5143</v>
      </c>
      <c r="G18" s="11">
        <v>3535</v>
      </c>
      <c r="H18" s="30">
        <v>0</v>
      </c>
      <c r="I18" s="11">
        <v>1534</v>
      </c>
      <c r="J18" s="11">
        <v>1915</v>
      </c>
      <c r="K18" s="11">
        <v>1635</v>
      </c>
      <c r="L18" s="11">
        <v>2419</v>
      </c>
      <c r="M18" s="11">
        <v>25</v>
      </c>
      <c r="N18" s="11">
        <v>6070</v>
      </c>
      <c r="O18" s="11">
        <v>9059</v>
      </c>
      <c r="P18" s="11">
        <v>34</v>
      </c>
      <c r="Q18" s="11">
        <v>893</v>
      </c>
      <c r="R18" s="11">
        <v>2001</v>
      </c>
      <c r="S18" s="11">
        <v>1721</v>
      </c>
      <c r="T18" s="40"/>
      <c r="U18" s="11">
        <v>1446</v>
      </c>
      <c r="V18" s="11">
        <v>8042</v>
      </c>
      <c r="W18" s="11">
        <v>13529</v>
      </c>
      <c r="X18" s="11">
        <v>22446</v>
      </c>
      <c r="Y18" s="11">
        <v>16796</v>
      </c>
      <c r="Z18" s="30">
        <v>0</v>
      </c>
      <c r="AA18" s="11"/>
      <c r="AB18" s="11">
        <v>0</v>
      </c>
      <c r="AC18" s="11">
        <v>0</v>
      </c>
      <c r="AD18" s="11">
        <v>132</v>
      </c>
      <c r="AE18" s="11">
        <v>1310</v>
      </c>
      <c r="AF18" s="11">
        <v>421</v>
      </c>
      <c r="AG18" s="11">
        <v>189</v>
      </c>
      <c r="AH18" s="30">
        <v>0</v>
      </c>
      <c r="AI18" s="40"/>
      <c r="AJ18" s="30">
        <v>0</v>
      </c>
      <c r="AK18" s="11">
        <v>0</v>
      </c>
      <c r="AL18" s="11"/>
      <c r="AM18" s="22">
        <v>3419.030303030303</v>
      </c>
    </row>
    <row r="19" spans="1:39" s="1" customFormat="1">
      <c r="A19" s="16">
        <v>44682</v>
      </c>
      <c r="B19" s="11">
        <v>5753</v>
      </c>
      <c r="C19" s="11">
        <v>1411</v>
      </c>
      <c r="D19" s="11">
        <v>960</v>
      </c>
      <c r="E19" s="11">
        <v>3238</v>
      </c>
      <c r="F19" s="11">
        <v>4703</v>
      </c>
      <c r="G19" s="11">
        <v>1853</v>
      </c>
      <c r="H19" s="11">
        <v>623</v>
      </c>
      <c r="I19" s="11">
        <v>1855</v>
      </c>
      <c r="J19" s="11">
        <v>1714</v>
      </c>
      <c r="K19" s="11">
        <v>2202</v>
      </c>
      <c r="L19" s="11">
        <v>1296</v>
      </c>
      <c r="M19" s="11">
        <v>2966</v>
      </c>
      <c r="N19" s="11">
        <v>7076</v>
      </c>
      <c r="O19" s="11">
        <v>4399</v>
      </c>
      <c r="P19" s="11">
        <v>522</v>
      </c>
      <c r="Q19" s="11">
        <v>1589</v>
      </c>
      <c r="R19" s="11">
        <v>1930</v>
      </c>
      <c r="S19" s="11">
        <v>1600</v>
      </c>
      <c r="T19" s="40"/>
      <c r="U19" s="11">
        <v>5271</v>
      </c>
      <c r="V19" s="11">
        <v>11551</v>
      </c>
      <c r="W19" s="11">
        <v>19722</v>
      </c>
      <c r="X19" s="11">
        <v>20195</v>
      </c>
      <c r="Y19" s="11">
        <v>8114</v>
      </c>
      <c r="Z19" s="30">
        <v>0</v>
      </c>
      <c r="AA19" s="11"/>
      <c r="AB19" s="11">
        <v>0</v>
      </c>
      <c r="AC19" s="51">
        <v>113</v>
      </c>
      <c r="AD19" s="11">
        <v>632</v>
      </c>
      <c r="AE19" s="11">
        <v>1058</v>
      </c>
      <c r="AF19" s="11">
        <v>212</v>
      </c>
      <c r="AG19" s="30">
        <v>0</v>
      </c>
      <c r="AH19" s="30">
        <v>0</v>
      </c>
      <c r="AI19" s="40"/>
      <c r="AJ19" s="30">
        <v>0</v>
      </c>
      <c r="AK19" s="11">
        <v>0</v>
      </c>
      <c r="AL19" s="11"/>
      <c r="AM19" s="22">
        <v>3410.848484848485</v>
      </c>
    </row>
    <row r="20" spans="1:39" s="1" customFormat="1">
      <c r="A20" s="16">
        <v>44713</v>
      </c>
      <c r="B20" s="11">
        <v>8358</v>
      </c>
      <c r="C20" s="11">
        <v>2754</v>
      </c>
      <c r="D20" s="11">
        <v>0</v>
      </c>
      <c r="E20" s="11">
        <v>1913</v>
      </c>
      <c r="F20" s="11">
        <v>5133</v>
      </c>
      <c r="G20" s="11">
        <v>3577</v>
      </c>
      <c r="H20" s="30">
        <v>0</v>
      </c>
      <c r="I20" s="11">
        <v>1122</v>
      </c>
      <c r="J20" s="11">
        <v>1831</v>
      </c>
      <c r="K20" s="11">
        <v>1762</v>
      </c>
      <c r="L20" s="11">
        <v>2684</v>
      </c>
      <c r="M20" s="11">
        <v>0</v>
      </c>
      <c r="N20" s="11">
        <v>4958</v>
      </c>
      <c r="O20" s="11">
        <v>7995</v>
      </c>
      <c r="P20" s="11">
        <v>0</v>
      </c>
      <c r="Q20" s="11">
        <v>1116</v>
      </c>
      <c r="R20" s="11">
        <v>2277</v>
      </c>
      <c r="S20" s="11">
        <v>2126</v>
      </c>
      <c r="T20" s="40"/>
      <c r="U20" s="11">
        <v>1594</v>
      </c>
      <c r="V20" s="11">
        <v>7632</v>
      </c>
      <c r="W20" s="11">
        <v>13992</v>
      </c>
      <c r="X20" s="11">
        <v>23149</v>
      </c>
      <c r="Y20" s="11">
        <v>15111</v>
      </c>
      <c r="Z20" s="30">
        <v>0</v>
      </c>
      <c r="AA20" s="11"/>
      <c r="AB20" s="11">
        <v>0</v>
      </c>
      <c r="AC20" s="11">
        <v>0</v>
      </c>
      <c r="AD20" s="11">
        <v>150</v>
      </c>
      <c r="AE20" s="11">
        <v>1271</v>
      </c>
      <c r="AF20" s="11">
        <v>430</v>
      </c>
      <c r="AG20" s="11">
        <v>232</v>
      </c>
      <c r="AH20" s="30">
        <v>0</v>
      </c>
      <c r="AI20" s="40"/>
      <c r="AJ20" s="30">
        <v>0</v>
      </c>
      <c r="AK20" s="11">
        <v>0</v>
      </c>
      <c r="AL20" s="11"/>
      <c r="AM20" s="22">
        <v>3368.6969696969695</v>
      </c>
    </row>
    <row r="21" spans="1:39" s="1" customFormat="1">
      <c r="A21" s="16">
        <v>44743</v>
      </c>
      <c r="B21" s="11">
        <v>10238</v>
      </c>
      <c r="C21" s="11">
        <v>3321</v>
      </c>
      <c r="D21" s="11">
        <v>0</v>
      </c>
      <c r="E21" s="11">
        <v>2385</v>
      </c>
      <c r="F21" s="11">
        <v>6203</v>
      </c>
      <c r="G21" s="11">
        <v>4550</v>
      </c>
      <c r="H21" s="30">
        <v>0</v>
      </c>
      <c r="I21" s="11">
        <v>1500</v>
      </c>
      <c r="J21" s="11">
        <v>2240</v>
      </c>
      <c r="K21" s="11">
        <v>2131</v>
      </c>
      <c r="L21" s="11">
        <v>3015</v>
      </c>
      <c r="M21" s="11">
        <v>0</v>
      </c>
      <c r="N21" s="11">
        <v>6282</v>
      </c>
      <c r="O21" s="11">
        <v>10928</v>
      </c>
      <c r="P21" s="11">
        <v>0</v>
      </c>
      <c r="Q21" s="11">
        <v>1087</v>
      </c>
      <c r="R21" s="11">
        <v>2647</v>
      </c>
      <c r="S21" s="11">
        <v>2546</v>
      </c>
      <c r="T21" s="40"/>
      <c r="U21" s="11">
        <v>2212</v>
      </c>
      <c r="V21" s="11">
        <v>9887</v>
      </c>
      <c r="W21" s="11">
        <v>17512</v>
      </c>
      <c r="X21" s="11">
        <v>29189</v>
      </c>
      <c r="Y21" s="11">
        <v>18547</v>
      </c>
      <c r="Z21" s="30">
        <v>0</v>
      </c>
      <c r="AA21" s="11"/>
      <c r="AB21" s="11">
        <v>0</v>
      </c>
      <c r="AC21" s="11">
        <v>0</v>
      </c>
      <c r="AD21" s="11">
        <v>157</v>
      </c>
      <c r="AE21" s="11">
        <v>1511</v>
      </c>
      <c r="AF21" s="11">
        <v>469</v>
      </c>
      <c r="AG21" s="11">
        <v>278</v>
      </c>
      <c r="AH21" s="30">
        <v>0</v>
      </c>
      <c r="AI21" s="40"/>
      <c r="AJ21" s="30">
        <v>0</v>
      </c>
      <c r="AK21" s="11">
        <v>0</v>
      </c>
      <c r="AL21" s="11"/>
      <c r="AM21" s="22">
        <v>4207.121212121212</v>
      </c>
    </row>
    <row r="22" spans="1:39" s="1" customFormat="1">
      <c r="A22" s="16">
        <v>44774</v>
      </c>
      <c r="B22" s="11">
        <v>8387</v>
      </c>
      <c r="C22" s="11">
        <v>2676</v>
      </c>
      <c r="D22" s="11">
        <v>0</v>
      </c>
      <c r="E22" s="11">
        <v>2106</v>
      </c>
      <c r="F22" s="11">
        <v>5226</v>
      </c>
      <c r="G22" s="11">
        <v>3790</v>
      </c>
      <c r="H22" s="30">
        <v>0</v>
      </c>
      <c r="I22" s="11">
        <v>1197</v>
      </c>
      <c r="J22" s="11">
        <v>2043</v>
      </c>
      <c r="K22" s="11">
        <v>1872</v>
      </c>
      <c r="L22" s="11">
        <v>2599</v>
      </c>
      <c r="M22" s="11">
        <v>0</v>
      </c>
      <c r="N22" s="11">
        <v>5313</v>
      </c>
      <c r="O22" s="11">
        <v>8933</v>
      </c>
      <c r="P22" s="11">
        <v>0</v>
      </c>
      <c r="Q22" s="11">
        <v>972</v>
      </c>
      <c r="R22" s="11">
        <v>2278</v>
      </c>
      <c r="S22" s="11">
        <v>1936</v>
      </c>
      <c r="T22" s="40"/>
      <c r="U22" s="11">
        <v>1657</v>
      </c>
      <c r="V22" s="11">
        <v>8392</v>
      </c>
      <c r="W22" s="11">
        <v>13950</v>
      </c>
      <c r="X22" s="11">
        <v>23776</v>
      </c>
      <c r="Y22" s="11">
        <v>15826</v>
      </c>
      <c r="Z22" s="30">
        <v>0</v>
      </c>
      <c r="AA22" s="11"/>
      <c r="AB22" s="11">
        <v>0</v>
      </c>
      <c r="AC22" s="11">
        <v>0</v>
      </c>
      <c r="AD22" s="11">
        <v>115</v>
      </c>
      <c r="AE22" s="11">
        <v>1351</v>
      </c>
      <c r="AF22" s="11">
        <v>463</v>
      </c>
      <c r="AG22" s="11">
        <v>258</v>
      </c>
      <c r="AH22" s="30">
        <v>0</v>
      </c>
      <c r="AI22" s="40"/>
      <c r="AJ22" s="30">
        <v>0</v>
      </c>
      <c r="AK22" s="11">
        <v>0</v>
      </c>
      <c r="AL22" s="11"/>
      <c r="AM22" s="22">
        <v>3488.3636363636365</v>
      </c>
    </row>
    <row r="23" spans="1:39" s="1" customFormat="1">
      <c r="A23" s="16">
        <v>44805</v>
      </c>
      <c r="B23" s="11">
        <v>8659</v>
      </c>
      <c r="C23" s="11">
        <v>2768</v>
      </c>
      <c r="D23" s="11">
        <v>0</v>
      </c>
      <c r="E23" s="11">
        <v>2259</v>
      </c>
      <c r="F23" s="11">
        <v>5906</v>
      </c>
      <c r="G23" s="11">
        <v>4015</v>
      </c>
      <c r="H23" s="30">
        <v>0</v>
      </c>
      <c r="I23" s="11">
        <v>1263</v>
      </c>
      <c r="J23" s="11">
        <v>2248</v>
      </c>
      <c r="K23" s="11">
        <v>1755</v>
      </c>
      <c r="L23" s="11">
        <v>2781</v>
      </c>
      <c r="M23" s="11">
        <v>0</v>
      </c>
      <c r="N23" s="11">
        <v>5096</v>
      </c>
      <c r="O23" s="11">
        <v>8650</v>
      </c>
      <c r="P23" s="11">
        <v>0</v>
      </c>
      <c r="Q23" s="11">
        <v>896</v>
      </c>
      <c r="R23" s="11">
        <v>2524</v>
      </c>
      <c r="S23" s="11">
        <v>1994</v>
      </c>
      <c r="T23" s="40"/>
      <c r="U23" s="11">
        <v>1694</v>
      </c>
      <c r="V23" s="11">
        <v>8592</v>
      </c>
      <c r="W23" s="11">
        <v>14074</v>
      </c>
      <c r="X23" s="11">
        <v>23400</v>
      </c>
      <c r="Y23" s="11">
        <v>15725</v>
      </c>
      <c r="Z23" s="30">
        <v>0</v>
      </c>
      <c r="AA23" s="11"/>
      <c r="AB23" s="11">
        <v>0</v>
      </c>
      <c r="AC23" s="11">
        <v>0</v>
      </c>
      <c r="AD23" s="11">
        <v>170</v>
      </c>
      <c r="AE23" s="11">
        <v>1258</v>
      </c>
      <c r="AF23" s="11">
        <v>545</v>
      </c>
      <c r="AG23" s="11">
        <v>257</v>
      </c>
      <c r="AH23" s="30">
        <v>0</v>
      </c>
      <c r="AI23" s="40"/>
      <c r="AJ23" s="30">
        <v>0</v>
      </c>
      <c r="AK23" s="11">
        <v>0</v>
      </c>
      <c r="AL23" s="11"/>
      <c r="AM23" s="22">
        <v>3531.181818181818</v>
      </c>
    </row>
    <row r="24" spans="1:39" s="1" customFormat="1">
      <c r="A24" s="16">
        <v>44835</v>
      </c>
      <c r="B24" s="11">
        <v>11878</v>
      </c>
      <c r="C24" s="11">
        <v>3603</v>
      </c>
      <c r="D24" s="11">
        <v>0</v>
      </c>
      <c r="E24" s="11">
        <v>2632</v>
      </c>
      <c r="F24" s="11">
        <v>7428</v>
      </c>
      <c r="G24" s="11">
        <v>4768</v>
      </c>
      <c r="H24" s="11">
        <v>63</v>
      </c>
      <c r="I24" s="11">
        <v>1854</v>
      </c>
      <c r="J24" s="11">
        <v>2639</v>
      </c>
      <c r="K24" s="11">
        <v>2347</v>
      </c>
      <c r="L24" s="11">
        <v>3328</v>
      </c>
      <c r="M24" s="11">
        <v>0</v>
      </c>
      <c r="N24" s="11">
        <v>7017</v>
      </c>
      <c r="O24" s="11">
        <v>11820</v>
      </c>
      <c r="P24" s="11">
        <v>0</v>
      </c>
      <c r="Q24" s="11">
        <v>1154</v>
      </c>
      <c r="R24" s="11">
        <v>2919</v>
      </c>
      <c r="S24" s="11">
        <v>2356</v>
      </c>
      <c r="T24" s="40"/>
      <c r="U24" s="11">
        <v>2277</v>
      </c>
      <c r="V24" s="11">
        <v>11047</v>
      </c>
      <c r="W24" s="11">
        <v>17819</v>
      </c>
      <c r="X24" s="11">
        <v>29999</v>
      </c>
      <c r="Y24" s="11">
        <v>20325</v>
      </c>
      <c r="Z24" s="30">
        <v>0</v>
      </c>
      <c r="AA24" s="11"/>
      <c r="AB24" s="11">
        <v>0</v>
      </c>
      <c r="AC24" s="11">
        <v>0</v>
      </c>
      <c r="AD24" s="11">
        <v>224</v>
      </c>
      <c r="AE24" s="11">
        <v>1695</v>
      </c>
      <c r="AF24" s="11">
        <v>602</v>
      </c>
      <c r="AG24" s="11">
        <v>357</v>
      </c>
      <c r="AH24" s="30">
        <v>0</v>
      </c>
      <c r="AI24" s="40"/>
      <c r="AJ24" s="30">
        <v>0</v>
      </c>
      <c r="AK24" s="11">
        <v>0</v>
      </c>
      <c r="AL24" s="11"/>
      <c r="AM24" s="22">
        <v>4550.030303030303</v>
      </c>
    </row>
    <row r="25" spans="1:39" s="1" customFormat="1">
      <c r="A25" s="16">
        <v>44866</v>
      </c>
      <c r="B25" s="11">
        <v>8488</v>
      </c>
      <c r="C25" s="11">
        <v>2365</v>
      </c>
      <c r="D25" s="11">
        <v>0</v>
      </c>
      <c r="E25" s="11">
        <v>1877</v>
      </c>
      <c r="F25" s="11">
        <v>4945</v>
      </c>
      <c r="G25" s="11">
        <v>3800</v>
      </c>
      <c r="H25" s="30">
        <v>0</v>
      </c>
      <c r="I25" s="11">
        <v>1264</v>
      </c>
      <c r="J25" s="11">
        <v>1776</v>
      </c>
      <c r="K25" s="11">
        <v>1633</v>
      </c>
      <c r="L25" s="11">
        <v>2369</v>
      </c>
      <c r="M25" s="11">
        <v>0</v>
      </c>
      <c r="N25" s="11">
        <v>4552</v>
      </c>
      <c r="O25" s="11">
        <v>8935</v>
      </c>
      <c r="P25" s="11">
        <v>0</v>
      </c>
      <c r="Q25" s="11">
        <v>969</v>
      </c>
      <c r="R25" s="11">
        <v>2102</v>
      </c>
      <c r="S25" s="11">
        <v>1911</v>
      </c>
      <c r="T25" s="40"/>
      <c r="U25" s="11">
        <v>1633</v>
      </c>
      <c r="V25" s="11">
        <v>7823</v>
      </c>
      <c r="W25" s="11">
        <v>12784</v>
      </c>
      <c r="X25" s="11">
        <v>20921</v>
      </c>
      <c r="Y25" s="11">
        <v>15011</v>
      </c>
      <c r="Z25" s="30">
        <v>0</v>
      </c>
      <c r="AA25" s="11"/>
      <c r="AB25" s="11">
        <v>0</v>
      </c>
      <c r="AC25" s="11">
        <v>0</v>
      </c>
      <c r="AD25" s="11">
        <v>135</v>
      </c>
      <c r="AE25" s="11">
        <v>1017</v>
      </c>
      <c r="AF25" s="11">
        <v>348</v>
      </c>
      <c r="AG25" s="11">
        <v>169</v>
      </c>
      <c r="AH25" s="30">
        <v>0</v>
      </c>
      <c r="AI25" s="40"/>
      <c r="AJ25" s="30">
        <v>0</v>
      </c>
      <c r="AK25" s="11">
        <v>0</v>
      </c>
      <c r="AL25" s="11"/>
      <c r="AM25" s="22">
        <v>3237.181818181818</v>
      </c>
    </row>
    <row r="26" spans="1:39" s="1" customFormat="1">
      <c r="A26" s="16">
        <v>44896</v>
      </c>
      <c r="B26" s="11">
        <v>8087</v>
      </c>
      <c r="C26" s="11">
        <v>2493</v>
      </c>
      <c r="D26" s="11">
        <v>0</v>
      </c>
      <c r="E26" s="11">
        <v>1983</v>
      </c>
      <c r="F26" s="11">
        <v>5063</v>
      </c>
      <c r="G26" s="11">
        <v>4007</v>
      </c>
      <c r="H26" s="30">
        <v>0</v>
      </c>
      <c r="I26" s="11">
        <v>1238</v>
      </c>
      <c r="J26" s="11">
        <v>1741</v>
      </c>
      <c r="K26" s="11">
        <v>1621</v>
      </c>
      <c r="L26" s="11">
        <v>2344</v>
      </c>
      <c r="M26" s="11">
        <v>0</v>
      </c>
      <c r="N26" s="11">
        <v>4838</v>
      </c>
      <c r="O26" s="11">
        <v>10009</v>
      </c>
      <c r="P26" s="11">
        <v>0</v>
      </c>
      <c r="Q26" s="11">
        <v>903</v>
      </c>
      <c r="R26" s="11">
        <v>1913</v>
      </c>
      <c r="S26" s="11">
        <v>1899</v>
      </c>
      <c r="T26" s="40"/>
      <c r="U26" s="11">
        <v>1654</v>
      </c>
      <c r="V26" s="11">
        <v>7749</v>
      </c>
      <c r="W26" s="11">
        <v>12993</v>
      </c>
      <c r="X26" s="11">
        <v>21316</v>
      </c>
      <c r="Y26" s="11">
        <v>15211</v>
      </c>
      <c r="Z26" s="30">
        <v>0</v>
      </c>
      <c r="AA26" s="11"/>
      <c r="AB26" s="11">
        <v>0</v>
      </c>
      <c r="AC26" s="11">
        <v>0</v>
      </c>
      <c r="AD26" s="11">
        <v>115</v>
      </c>
      <c r="AE26" s="11">
        <v>1099</v>
      </c>
      <c r="AF26" s="11">
        <v>538</v>
      </c>
      <c r="AG26" s="11">
        <v>306</v>
      </c>
      <c r="AH26" s="30">
        <v>0</v>
      </c>
      <c r="AI26" s="40"/>
      <c r="AJ26" s="30">
        <v>0</v>
      </c>
      <c r="AK26" s="11">
        <v>0</v>
      </c>
      <c r="AL26" s="11"/>
      <c r="AM26" s="22">
        <v>3306.6666666666665</v>
      </c>
    </row>
    <row r="27" spans="1:39" s="1" customFormat="1">
      <c r="A27" s="16">
        <v>44927</v>
      </c>
      <c r="B27" s="3">
        <v>6643</v>
      </c>
      <c r="C27" s="3">
        <v>2265</v>
      </c>
      <c r="D27" s="3"/>
      <c r="E27" s="3">
        <v>1383</v>
      </c>
      <c r="F27" s="3">
        <v>4074</v>
      </c>
      <c r="G27" s="3">
        <v>3333</v>
      </c>
      <c r="H27" s="35">
        <v>0</v>
      </c>
      <c r="I27" s="3">
        <v>1532</v>
      </c>
      <c r="J27" s="3">
        <v>1587</v>
      </c>
      <c r="K27" s="3">
        <v>1125</v>
      </c>
      <c r="L27" s="3">
        <v>2413</v>
      </c>
      <c r="M27" s="3"/>
      <c r="N27" s="3">
        <v>5326</v>
      </c>
      <c r="O27" s="3">
        <v>9796</v>
      </c>
      <c r="P27" s="3"/>
      <c r="Q27" s="3">
        <v>1068</v>
      </c>
      <c r="R27" s="3">
        <v>1662</v>
      </c>
      <c r="S27" s="3">
        <v>1200</v>
      </c>
      <c r="T27" s="41"/>
      <c r="U27" s="3">
        <v>1243</v>
      </c>
      <c r="V27" s="3">
        <v>6816</v>
      </c>
      <c r="W27" s="3">
        <v>10915</v>
      </c>
      <c r="X27" s="3">
        <v>18775</v>
      </c>
      <c r="Y27" s="3">
        <v>14680</v>
      </c>
      <c r="Z27" s="35"/>
      <c r="AA27" s="3"/>
      <c r="AB27" s="3"/>
      <c r="AC27" s="3"/>
      <c r="AD27" s="3">
        <v>148</v>
      </c>
      <c r="AE27" s="3">
        <v>1009</v>
      </c>
      <c r="AF27" s="3">
        <v>296</v>
      </c>
      <c r="AG27" s="35">
        <v>0</v>
      </c>
      <c r="AH27" s="35">
        <v>0</v>
      </c>
      <c r="AI27" s="41"/>
      <c r="AJ27" s="35"/>
      <c r="AK27" s="3"/>
      <c r="AL27" s="3"/>
      <c r="AM27" s="22">
        <v>3891.56</v>
      </c>
    </row>
    <row r="28" spans="1:39" s="1" customFormat="1">
      <c r="A28" s="16">
        <v>44958</v>
      </c>
      <c r="B28" s="3">
        <v>6305</v>
      </c>
      <c r="C28" s="3">
        <v>2053</v>
      </c>
      <c r="D28" s="3"/>
      <c r="E28" s="3">
        <v>1263</v>
      </c>
      <c r="F28" s="3">
        <v>3561</v>
      </c>
      <c r="G28" s="3">
        <v>2963</v>
      </c>
      <c r="H28" s="35">
        <v>0</v>
      </c>
      <c r="I28" s="3">
        <v>1250</v>
      </c>
      <c r="J28" s="3">
        <v>1450</v>
      </c>
      <c r="K28" s="3">
        <v>1006</v>
      </c>
      <c r="L28" s="3">
        <v>2159</v>
      </c>
      <c r="M28" s="3"/>
      <c r="N28" s="3">
        <v>4426</v>
      </c>
      <c r="O28" s="3">
        <v>8273</v>
      </c>
      <c r="P28" s="3"/>
      <c r="Q28" s="3">
        <v>680</v>
      </c>
      <c r="R28" s="3">
        <v>1540</v>
      </c>
      <c r="S28" s="3">
        <v>1118</v>
      </c>
      <c r="T28" s="41"/>
      <c r="U28" s="3">
        <v>1209</v>
      </c>
      <c r="V28" s="3">
        <v>5910</v>
      </c>
      <c r="W28" s="3">
        <v>9722</v>
      </c>
      <c r="X28" s="3">
        <v>16682</v>
      </c>
      <c r="Y28" s="3">
        <v>13694</v>
      </c>
      <c r="Z28" s="35"/>
      <c r="AA28" s="3"/>
      <c r="AB28" s="3"/>
      <c r="AC28" s="3"/>
      <c r="AD28" s="3">
        <v>184</v>
      </c>
      <c r="AE28" s="3">
        <v>1048</v>
      </c>
      <c r="AF28" s="3">
        <v>354</v>
      </c>
      <c r="AG28" s="35">
        <v>0</v>
      </c>
      <c r="AH28" s="35">
        <v>0</v>
      </c>
      <c r="AI28" s="41"/>
      <c r="AJ28" s="35"/>
      <c r="AK28" s="3"/>
      <c r="AL28" s="3"/>
      <c r="AM28" s="22">
        <v>3474</v>
      </c>
    </row>
    <row r="29" spans="1:39" s="1" customFormat="1">
      <c r="A29" s="16">
        <v>44986</v>
      </c>
      <c r="B29" s="3">
        <v>6656</v>
      </c>
      <c r="C29" s="3">
        <v>2224</v>
      </c>
      <c r="D29" s="3"/>
      <c r="E29" s="3">
        <v>1297</v>
      </c>
      <c r="F29" s="3">
        <v>3913</v>
      </c>
      <c r="G29" s="3">
        <v>3004</v>
      </c>
      <c r="H29" s="35">
        <v>0</v>
      </c>
      <c r="I29" s="3">
        <v>1351</v>
      </c>
      <c r="J29" s="3">
        <v>1388</v>
      </c>
      <c r="K29" s="3">
        <v>1264</v>
      </c>
      <c r="L29" s="3">
        <v>2206</v>
      </c>
      <c r="M29" s="3"/>
      <c r="N29" s="3">
        <v>4706</v>
      </c>
      <c r="O29" s="3">
        <v>7562</v>
      </c>
      <c r="P29" s="3"/>
      <c r="Q29" s="3">
        <v>723</v>
      </c>
      <c r="R29" s="3">
        <v>1605</v>
      </c>
      <c r="S29" s="3">
        <v>1391</v>
      </c>
      <c r="T29" s="41"/>
      <c r="U29" s="3">
        <v>1304</v>
      </c>
      <c r="V29" s="3">
        <v>6014</v>
      </c>
      <c r="W29" s="3">
        <v>10473</v>
      </c>
      <c r="X29" s="3">
        <v>18093</v>
      </c>
      <c r="Y29" s="3">
        <v>13527</v>
      </c>
      <c r="Z29" s="35"/>
      <c r="AA29" s="3"/>
      <c r="AB29" s="3"/>
      <c r="AC29" s="3"/>
      <c r="AD29" s="3">
        <v>153</v>
      </c>
      <c r="AE29" s="3">
        <v>938</v>
      </c>
      <c r="AF29" s="3">
        <v>383</v>
      </c>
      <c r="AG29" s="35">
        <v>0</v>
      </c>
      <c r="AH29" s="35">
        <v>0</v>
      </c>
      <c r="AI29" s="41"/>
      <c r="AJ29" s="35"/>
      <c r="AK29" s="3"/>
      <c r="AL29" s="3"/>
      <c r="AM29" s="22">
        <v>3607</v>
      </c>
    </row>
    <row r="30" spans="1:39" s="1" customFormat="1">
      <c r="A30" s="16">
        <v>45017</v>
      </c>
      <c r="B30" s="3">
        <v>8174</v>
      </c>
      <c r="C30" s="3">
        <v>2500</v>
      </c>
      <c r="D30" s="3"/>
      <c r="E30" s="3">
        <v>1861</v>
      </c>
      <c r="F30" s="3">
        <v>5143</v>
      </c>
      <c r="G30" s="3">
        <v>3535</v>
      </c>
      <c r="H30" s="35">
        <v>0</v>
      </c>
      <c r="I30" s="3">
        <v>1534</v>
      </c>
      <c r="J30" s="3">
        <v>1915</v>
      </c>
      <c r="K30" s="3">
        <v>1635</v>
      </c>
      <c r="L30" s="3">
        <v>2419</v>
      </c>
      <c r="M30" s="3"/>
      <c r="N30" s="3">
        <v>6070</v>
      </c>
      <c r="O30" s="3">
        <v>9058</v>
      </c>
      <c r="P30" s="3"/>
      <c r="Q30" s="3">
        <v>893</v>
      </c>
      <c r="R30" s="3">
        <v>2001</v>
      </c>
      <c r="S30" s="3">
        <v>1721</v>
      </c>
      <c r="T30" s="41"/>
      <c r="U30" s="3">
        <v>1446</v>
      </c>
      <c r="V30" s="3">
        <v>8042</v>
      </c>
      <c r="W30" s="3">
        <v>13529</v>
      </c>
      <c r="X30" s="3">
        <v>22446</v>
      </c>
      <c r="Y30" s="3">
        <v>16796</v>
      </c>
      <c r="Z30" s="35"/>
      <c r="AA30" s="3"/>
      <c r="AB30" s="3"/>
      <c r="AC30" s="3"/>
      <c r="AD30" s="3">
        <v>166</v>
      </c>
      <c r="AE30" s="3">
        <v>1310</v>
      </c>
      <c r="AF30" s="3">
        <v>446</v>
      </c>
      <c r="AG30" s="3">
        <v>189</v>
      </c>
      <c r="AH30" s="35">
        <v>0</v>
      </c>
      <c r="AI30" s="41"/>
      <c r="AJ30" s="35"/>
      <c r="AK30" s="3"/>
      <c r="AL30" s="3"/>
      <c r="AM30" s="22">
        <v>4513.16</v>
      </c>
    </row>
    <row r="31" spans="1:39" s="1" customFormat="1">
      <c r="A31" s="16">
        <v>45047</v>
      </c>
      <c r="B31" s="3">
        <v>9605</v>
      </c>
      <c r="C31" s="3">
        <v>2982</v>
      </c>
      <c r="D31" s="3"/>
      <c r="E31" s="3">
        <v>2067</v>
      </c>
      <c r="F31" s="3">
        <v>5646</v>
      </c>
      <c r="G31" s="3">
        <v>4124</v>
      </c>
      <c r="H31" s="35">
        <v>0</v>
      </c>
      <c r="I31" s="3">
        <v>1593</v>
      </c>
      <c r="J31" s="3">
        <v>2048</v>
      </c>
      <c r="K31" s="3">
        <v>1980</v>
      </c>
      <c r="L31" s="3">
        <v>2880</v>
      </c>
      <c r="M31" s="3"/>
      <c r="N31" s="3">
        <v>6126</v>
      </c>
      <c r="O31" s="3">
        <v>9739</v>
      </c>
      <c r="P31" s="3"/>
      <c r="Q31" s="3">
        <v>1139</v>
      </c>
      <c r="R31" s="3">
        <v>2395</v>
      </c>
      <c r="S31" s="3">
        <v>1943</v>
      </c>
      <c r="T31" s="41"/>
      <c r="U31" s="3">
        <v>1880</v>
      </c>
      <c r="V31" s="3">
        <v>9325</v>
      </c>
      <c r="W31" s="3">
        <v>16691</v>
      </c>
      <c r="X31" s="3">
        <v>26240</v>
      </c>
      <c r="Y31" s="3">
        <v>18143</v>
      </c>
      <c r="Z31" s="35"/>
      <c r="AA31" s="3"/>
      <c r="AB31" s="3"/>
      <c r="AC31" s="3"/>
      <c r="AD31" s="3">
        <v>113</v>
      </c>
      <c r="AE31" s="3">
        <v>1468</v>
      </c>
      <c r="AF31" s="3">
        <v>372</v>
      </c>
      <c r="AG31" s="3">
        <v>212</v>
      </c>
      <c r="AH31" s="35">
        <v>0</v>
      </c>
      <c r="AI31" s="41"/>
      <c r="AJ31" s="35"/>
      <c r="AK31" s="3"/>
      <c r="AL31" s="3"/>
      <c r="AM31" s="22">
        <v>5148.4399999999996</v>
      </c>
    </row>
    <row r="32" spans="1:39" s="1" customFormat="1">
      <c r="A32" s="16">
        <v>45078</v>
      </c>
      <c r="B32" s="3">
        <v>8358</v>
      </c>
      <c r="C32" s="3">
        <v>2754</v>
      </c>
      <c r="D32" s="3"/>
      <c r="E32" s="3">
        <v>1913</v>
      </c>
      <c r="F32" s="3">
        <v>5133</v>
      </c>
      <c r="G32" s="3">
        <v>3577</v>
      </c>
      <c r="H32" s="35">
        <v>0</v>
      </c>
      <c r="I32" s="3">
        <v>1122</v>
      </c>
      <c r="J32" s="3">
        <v>1831</v>
      </c>
      <c r="K32" s="3">
        <v>1762</v>
      </c>
      <c r="L32" s="3">
        <v>2684</v>
      </c>
      <c r="M32" s="3"/>
      <c r="N32" s="3">
        <v>4956</v>
      </c>
      <c r="O32" s="3">
        <v>7995</v>
      </c>
      <c r="P32" s="3"/>
      <c r="Q32" s="3">
        <v>1116</v>
      </c>
      <c r="R32" s="3">
        <v>2277</v>
      </c>
      <c r="S32" s="3">
        <v>2126</v>
      </c>
      <c r="T32" s="41"/>
      <c r="U32" s="3">
        <v>1594</v>
      </c>
      <c r="V32" s="3">
        <v>7632</v>
      </c>
      <c r="W32" s="3">
        <v>13992</v>
      </c>
      <c r="X32" s="3">
        <v>23149</v>
      </c>
      <c r="Y32" s="3">
        <v>15111</v>
      </c>
      <c r="Z32" s="35"/>
      <c r="AA32" s="3"/>
      <c r="AB32" s="3"/>
      <c r="AC32" s="3"/>
      <c r="AD32" s="3">
        <v>150</v>
      </c>
      <c r="AE32" s="3">
        <v>1271</v>
      </c>
      <c r="AF32" s="3">
        <v>430</v>
      </c>
      <c r="AG32" s="3">
        <v>232</v>
      </c>
      <c r="AH32" s="35">
        <v>0</v>
      </c>
      <c r="AI32" s="41"/>
      <c r="AJ32" s="35"/>
      <c r="AK32" s="3"/>
      <c r="AL32" s="3"/>
      <c r="AM32" s="22">
        <v>4446.6000000000004</v>
      </c>
    </row>
    <row r="33" spans="1:39" s="1" customFormat="1">
      <c r="A33" s="16">
        <v>45108</v>
      </c>
      <c r="B33" s="3">
        <v>11983</v>
      </c>
      <c r="C33" s="3">
        <v>3739</v>
      </c>
      <c r="D33" s="3"/>
      <c r="E33" s="3">
        <v>2976</v>
      </c>
      <c r="F33" s="3">
        <v>8022</v>
      </c>
      <c r="G33" s="3">
        <v>4762</v>
      </c>
      <c r="H33" s="35">
        <v>0</v>
      </c>
      <c r="I33" s="3">
        <v>1701</v>
      </c>
      <c r="J33" s="3">
        <v>2374</v>
      </c>
      <c r="K33" s="3">
        <v>3603</v>
      </c>
      <c r="L33" s="3">
        <v>3793</v>
      </c>
      <c r="M33" s="3"/>
      <c r="N33" s="3">
        <v>6462</v>
      </c>
      <c r="O33" s="3">
        <v>12802</v>
      </c>
      <c r="P33" s="3"/>
      <c r="Q33" s="3">
        <v>1327</v>
      </c>
      <c r="R33" s="3">
        <v>3037</v>
      </c>
      <c r="S33" s="3">
        <v>2495</v>
      </c>
      <c r="T33" s="41"/>
      <c r="U33" s="3">
        <v>2631</v>
      </c>
      <c r="V33" s="3">
        <v>12750</v>
      </c>
      <c r="W33" s="3">
        <v>20997</v>
      </c>
      <c r="X33" s="3">
        <v>32883</v>
      </c>
      <c r="Y33" s="3">
        <v>23477</v>
      </c>
      <c r="Z33" s="35">
        <v>0</v>
      </c>
      <c r="AA33" s="3"/>
      <c r="AB33" s="3">
        <v>0</v>
      </c>
      <c r="AC33" s="3"/>
      <c r="AD33" s="3">
        <v>113</v>
      </c>
      <c r="AE33" s="3">
        <v>1708</v>
      </c>
      <c r="AF33" s="3">
        <v>754</v>
      </c>
      <c r="AG33" s="3">
        <v>415</v>
      </c>
      <c r="AH33" s="35">
        <v>0</v>
      </c>
      <c r="AI33" s="41"/>
      <c r="AJ33" s="35">
        <v>0</v>
      </c>
      <c r="AK33" s="3">
        <v>0</v>
      </c>
      <c r="AL33" s="3"/>
      <c r="AM33" s="22">
        <v>5682.8965517241377</v>
      </c>
    </row>
    <row r="34" spans="1:39" s="1" customFormat="1">
      <c r="A34" s="16">
        <v>45139</v>
      </c>
      <c r="B34" s="3">
        <v>8593</v>
      </c>
      <c r="C34" s="3">
        <v>2984</v>
      </c>
      <c r="D34" s="3"/>
      <c r="E34" s="3">
        <v>2386</v>
      </c>
      <c r="F34" s="3">
        <v>5588</v>
      </c>
      <c r="G34" s="3">
        <v>3392</v>
      </c>
      <c r="H34" s="35">
        <v>0</v>
      </c>
      <c r="I34" s="3">
        <v>1100</v>
      </c>
      <c r="J34" s="3">
        <v>1835</v>
      </c>
      <c r="K34" s="3">
        <v>2954</v>
      </c>
      <c r="L34" s="3">
        <v>2809</v>
      </c>
      <c r="M34" s="3"/>
      <c r="N34" s="3">
        <v>4907</v>
      </c>
      <c r="O34" s="3">
        <v>9833</v>
      </c>
      <c r="P34" s="3"/>
      <c r="Q34" s="3">
        <v>941</v>
      </c>
      <c r="R34" s="3">
        <v>2200</v>
      </c>
      <c r="S34" s="3">
        <v>1732</v>
      </c>
      <c r="T34" s="41"/>
      <c r="U34" s="3">
        <v>1867</v>
      </c>
      <c r="V34" s="3">
        <v>9652</v>
      </c>
      <c r="W34" s="3">
        <v>15433</v>
      </c>
      <c r="X34" s="3">
        <v>25020</v>
      </c>
      <c r="Y34" s="3">
        <v>16721</v>
      </c>
      <c r="Z34" s="35">
        <v>0</v>
      </c>
      <c r="AA34" s="3"/>
      <c r="AB34" s="3">
        <v>0</v>
      </c>
      <c r="AC34" s="3"/>
      <c r="AD34" s="3">
        <v>89</v>
      </c>
      <c r="AE34" s="3">
        <v>1234</v>
      </c>
      <c r="AF34" s="3">
        <v>614</v>
      </c>
      <c r="AG34" s="3">
        <v>316</v>
      </c>
      <c r="AH34" s="35">
        <v>0</v>
      </c>
      <c r="AI34" s="41"/>
      <c r="AJ34" s="35">
        <v>0</v>
      </c>
      <c r="AK34" s="3">
        <v>0</v>
      </c>
      <c r="AL34" s="3"/>
      <c r="AM34" s="22">
        <v>4213.7931034482763</v>
      </c>
    </row>
    <row r="35" spans="1:39" s="1" customFormat="1">
      <c r="A35" s="16">
        <v>45170</v>
      </c>
      <c r="B35" s="3">
        <v>12856</v>
      </c>
      <c r="C35" s="3">
        <v>4428</v>
      </c>
      <c r="D35" s="3"/>
      <c r="E35" s="3">
        <v>3133</v>
      </c>
      <c r="F35" s="3">
        <v>8472</v>
      </c>
      <c r="G35" s="3">
        <v>4355</v>
      </c>
      <c r="H35" s="35">
        <v>0</v>
      </c>
      <c r="I35" s="3">
        <v>1557</v>
      </c>
      <c r="J35" s="3">
        <v>2749</v>
      </c>
      <c r="K35" s="3">
        <v>4051</v>
      </c>
      <c r="L35" s="3">
        <v>4074</v>
      </c>
      <c r="M35" s="3"/>
      <c r="N35" s="3">
        <v>6839</v>
      </c>
      <c r="O35" s="3">
        <v>13079</v>
      </c>
      <c r="P35" s="3"/>
      <c r="Q35" s="3">
        <v>1442</v>
      </c>
      <c r="R35" s="3">
        <v>3146</v>
      </c>
      <c r="S35" s="3">
        <v>2657</v>
      </c>
      <c r="T35" s="41"/>
      <c r="U35" s="3">
        <v>2605</v>
      </c>
      <c r="V35" s="3">
        <v>12466</v>
      </c>
      <c r="W35" s="3">
        <v>20879</v>
      </c>
      <c r="X35" s="3">
        <v>32100</v>
      </c>
      <c r="Y35" s="3">
        <v>22785</v>
      </c>
      <c r="Z35" s="35">
        <v>0</v>
      </c>
      <c r="AA35" s="3"/>
      <c r="AB35" s="3">
        <v>0</v>
      </c>
      <c r="AC35" s="3"/>
      <c r="AD35" s="3">
        <v>183</v>
      </c>
      <c r="AE35" s="3">
        <v>1793</v>
      </c>
      <c r="AF35" s="3">
        <v>1011</v>
      </c>
      <c r="AG35" s="3">
        <v>419</v>
      </c>
      <c r="AH35" s="3">
        <v>48</v>
      </c>
      <c r="AI35" s="41"/>
      <c r="AJ35" s="35">
        <v>0</v>
      </c>
      <c r="AK35" s="3">
        <v>0</v>
      </c>
      <c r="AL35" s="3"/>
      <c r="AM35" s="22">
        <v>5763</v>
      </c>
    </row>
    <row r="36" spans="1:39" s="1" customFormat="1">
      <c r="A36" s="16">
        <v>45200</v>
      </c>
      <c r="B36" s="3">
        <v>11074</v>
      </c>
      <c r="C36" s="3">
        <v>3598</v>
      </c>
      <c r="D36" s="3"/>
      <c r="E36" s="3">
        <v>3051</v>
      </c>
      <c r="F36" s="3">
        <v>7455</v>
      </c>
      <c r="G36" s="3">
        <v>4700</v>
      </c>
      <c r="H36" s="35">
        <v>0</v>
      </c>
      <c r="I36" s="3">
        <v>1459</v>
      </c>
      <c r="J36" s="3">
        <v>2428</v>
      </c>
      <c r="K36" s="3">
        <v>3591</v>
      </c>
      <c r="L36" s="3">
        <v>3318</v>
      </c>
      <c r="M36" s="3"/>
      <c r="N36" s="3">
        <v>6239</v>
      </c>
      <c r="O36" s="3">
        <v>11490</v>
      </c>
      <c r="P36" s="3"/>
      <c r="Q36" s="3">
        <v>1296</v>
      </c>
      <c r="R36" s="3">
        <v>2772</v>
      </c>
      <c r="S36" s="3">
        <v>2319</v>
      </c>
      <c r="T36" s="41"/>
      <c r="U36" s="3">
        <v>2415</v>
      </c>
      <c r="V36" s="3">
        <v>10861</v>
      </c>
      <c r="W36" s="3">
        <v>17860</v>
      </c>
      <c r="X36" s="3">
        <v>27671</v>
      </c>
      <c r="Y36" s="3">
        <v>19395</v>
      </c>
      <c r="Z36" s="35">
        <v>0</v>
      </c>
      <c r="AA36" s="41"/>
      <c r="AB36" s="3">
        <v>0</v>
      </c>
      <c r="AC36" s="3"/>
      <c r="AD36" s="3">
        <v>349</v>
      </c>
      <c r="AE36" s="3">
        <v>1610</v>
      </c>
      <c r="AF36" s="3">
        <v>1391</v>
      </c>
      <c r="AG36" s="3">
        <v>313</v>
      </c>
      <c r="AH36" s="3">
        <v>64</v>
      </c>
      <c r="AI36" s="41"/>
      <c r="AJ36" s="35">
        <v>0</v>
      </c>
      <c r="AK36" s="3">
        <v>0</v>
      </c>
      <c r="AL36" s="3"/>
      <c r="AM36" s="22">
        <v>5059.2758620689656</v>
      </c>
    </row>
    <row r="37" spans="1:39" s="1" customFormat="1">
      <c r="A37" s="16">
        <v>45231</v>
      </c>
      <c r="B37" s="3">
        <v>9530</v>
      </c>
      <c r="C37" s="3">
        <v>3731</v>
      </c>
      <c r="D37" s="3"/>
      <c r="E37" s="3">
        <v>2756</v>
      </c>
      <c r="F37" s="3">
        <v>6004</v>
      </c>
      <c r="G37" s="3">
        <v>4492</v>
      </c>
      <c r="H37" s="35">
        <v>0</v>
      </c>
      <c r="I37" s="3">
        <v>1403</v>
      </c>
      <c r="J37" s="3">
        <v>2041</v>
      </c>
      <c r="K37" s="3">
        <v>3091</v>
      </c>
      <c r="L37" s="3">
        <v>3203</v>
      </c>
      <c r="M37" s="3"/>
      <c r="N37" s="3">
        <v>5633</v>
      </c>
      <c r="O37" s="3">
        <v>10349</v>
      </c>
      <c r="P37" s="3"/>
      <c r="Q37" s="3">
        <v>1146</v>
      </c>
      <c r="R37" s="3">
        <v>2612</v>
      </c>
      <c r="S37" s="3">
        <v>2213</v>
      </c>
      <c r="T37" s="41"/>
      <c r="U37" s="3">
        <v>2043</v>
      </c>
      <c r="V37" s="3">
        <v>10513</v>
      </c>
      <c r="W37" s="3">
        <v>15592</v>
      </c>
      <c r="X37" s="3">
        <v>25855</v>
      </c>
      <c r="Y37" s="3">
        <v>19060</v>
      </c>
      <c r="Z37" s="35">
        <v>0</v>
      </c>
      <c r="AA37" s="41"/>
      <c r="AB37" s="3">
        <v>0</v>
      </c>
      <c r="AC37" s="3"/>
      <c r="AD37" s="3">
        <v>288</v>
      </c>
      <c r="AE37" s="3">
        <v>1438</v>
      </c>
      <c r="AF37" s="3">
        <v>1189</v>
      </c>
      <c r="AG37" s="3">
        <v>291</v>
      </c>
      <c r="AH37" s="35">
        <v>0</v>
      </c>
      <c r="AI37" s="41"/>
      <c r="AJ37" s="35">
        <v>0</v>
      </c>
      <c r="AK37" s="3">
        <v>0</v>
      </c>
      <c r="AL37" s="3"/>
      <c r="AM37" s="22">
        <v>4637</v>
      </c>
    </row>
    <row r="38" spans="1:39" s="1" customFormat="1">
      <c r="A38" s="16">
        <v>45261</v>
      </c>
      <c r="B38" s="3">
        <v>11069</v>
      </c>
      <c r="C38" s="3">
        <v>4037</v>
      </c>
      <c r="D38" s="3"/>
      <c r="E38" s="3">
        <v>3280</v>
      </c>
      <c r="F38" s="3">
        <v>7114</v>
      </c>
      <c r="G38" s="3">
        <v>6271</v>
      </c>
      <c r="H38" s="35">
        <v>0</v>
      </c>
      <c r="I38" s="3">
        <v>1676</v>
      </c>
      <c r="J38" s="3">
        <v>2429</v>
      </c>
      <c r="K38" s="3">
        <v>3538</v>
      </c>
      <c r="L38" s="3">
        <v>3766</v>
      </c>
      <c r="M38" s="3"/>
      <c r="N38" s="3">
        <v>6546</v>
      </c>
      <c r="O38" s="3">
        <v>13352</v>
      </c>
      <c r="P38" s="3"/>
      <c r="Q38" s="3">
        <v>1161</v>
      </c>
      <c r="R38" s="3">
        <v>2817</v>
      </c>
      <c r="S38" s="3">
        <v>2769</v>
      </c>
      <c r="T38" s="41"/>
      <c r="U38" s="3">
        <v>2328</v>
      </c>
      <c r="V38" s="3">
        <v>11984</v>
      </c>
      <c r="W38" s="3">
        <v>17775</v>
      </c>
      <c r="X38" s="3">
        <v>29792</v>
      </c>
      <c r="Y38" s="3">
        <v>21915</v>
      </c>
      <c r="Z38" s="3">
        <v>933</v>
      </c>
      <c r="AA38" s="41"/>
      <c r="AB38" s="3">
        <v>0</v>
      </c>
      <c r="AC38" s="3"/>
      <c r="AD38" s="3">
        <v>395</v>
      </c>
      <c r="AE38" s="3">
        <v>1746</v>
      </c>
      <c r="AF38" s="3">
        <v>1354</v>
      </c>
      <c r="AG38" s="3">
        <v>376</v>
      </c>
      <c r="AH38" s="35">
        <v>0</v>
      </c>
      <c r="AI38" s="41"/>
      <c r="AJ38" s="35">
        <v>0</v>
      </c>
      <c r="AK38" s="3">
        <v>0</v>
      </c>
      <c r="AL38" s="3"/>
      <c r="AM38" s="22">
        <v>5462.8620689655172</v>
      </c>
    </row>
    <row r="39" spans="1:39" s="1" customFormat="1">
      <c r="A39" s="16">
        <v>45292</v>
      </c>
      <c r="B39" s="3">
        <v>11612</v>
      </c>
      <c r="C39" s="3">
        <v>4121</v>
      </c>
      <c r="D39" s="3"/>
      <c r="E39" s="3">
        <v>3624</v>
      </c>
      <c r="F39" s="3">
        <v>8090</v>
      </c>
      <c r="G39" s="3">
        <v>6894</v>
      </c>
      <c r="H39" s="3">
        <v>300</v>
      </c>
      <c r="I39" s="3">
        <v>1772</v>
      </c>
      <c r="J39" s="3">
        <v>2736</v>
      </c>
      <c r="K39" s="3">
        <v>3974</v>
      </c>
      <c r="L39" s="3">
        <v>2770</v>
      </c>
      <c r="M39" s="3"/>
      <c r="N39" s="3">
        <v>7898</v>
      </c>
      <c r="O39" s="3">
        <v>15957</v>
      </c>
      <c r="P39" s="3"/>
      <c r="Q39" s="3">
        <v>1371</v>
      </c>
      <c r="R39" s="3">
        <v>3388</v>
      </c>
      <c r="S39" s="3">
        <v>2440</v>
      </c>
      <c r="T39" s="41"/>
      <c r="U39" s="3">
        <v>2566</v>
      </c>
      <c r="V39" s="3">
        <v>12203</v>
      </c>
      <c r="W39" s="3">
        <v>18660</v>
      </c>
      <c r="X39" s="3">
        <v>31255</v>
      </c>
      <c r="Y39" s="3">
        <v>23399</v>
      </c>
      <c r="Z39" s="3">
        <v>693</v>
      </c>
      <c r="AA39" s="41"/>
      <c r="AB39" s="3">
        <v>0</v>
      </c>
      <c r="AC39" s="3"/>
      <c r="AD39" s="3">
        <v>374</v>
      </c>
      <c r="AE39" s="3">
        <v>1672</v>
      </c>
      <c r="AF39" s="3">
        <v>1295</v>
      </c>
      <c r="AG39" s="3">
        <v>413</v>
      </c>
      <c r="AH39" s="3">
        <v>16</v>
      </c>
      <c r="AI39" s="41"/>
      <c r="AJ39" s="3">
        <v>86</v>
      </c>
      <c r="AK39" s="3"/>
      <c r="AL39" s="3"/>
      <c r="AM39" s="22">
        <v>6056.3928571428569</v>
      </c>
    </row>
    <row r="40" spans="1:39" s="1" customFormat="1">
      <c r="A40" s="16">
        <v>45323</v>
      </c>
      <c r="B40" s="3">
        <v>9384</v>
      </c>
      <c r="C40" s="3">
        <v>3269</v>
      </c>
      <c r="D40" s="3"/>
      <c r="E40" s="3">
        <v>2561</v>
      </c>
      <c r="F40" s="3">
        <v>6213</v>
      </c>
      <c r="G40" s="3">
        <v>5165</v>
      </c>
      <c r="H40" s="35">
        <v>0</v>
      </c>
      <c r="I40" s="3">
        <v>1302</v>
      </c>
      <c r="J40" s="3">
        <v>2048</v>
      </c>
      <c r="K40" s="3">
        <v>2834</v>
      </c>
      <c r="L40" s="3">
        <v>2860</v>
      </c>
      <c r="M40" s="3"/>
      <c r="N40" s="3">
        <v>6324</v>
      </c>
      <c r="O40" s="3">
        <v>11277</v>
      </c>
      <c r="P40" s="3"/>
      <c r="Q40" s="3">
        <v>1144</v>
      </c>
      <c r="R40" s="3">
        <v>2602</v>
      </c>
      <c r="S40" s="3">
        <v>2306</v>
      </c>
      <c r="T40" s="41"/>
      <c r="U40" s="3">
        <v>2287</v>
      </c>
      <c r="V40" s="3">
        <v>8878</v>
      </c>
      <c r="W40" s="3">
        <v>14807</v>
      </c>
      <c r="X40" s="3">
        <v>24310</v>
      </c>
      <c r="Y40" s="3">
        <v>18283</v>
      </c>
      <c r="Z40" s="35">
        <v>0</v>
      </c>
      <c r="AA40" s="41"/>
      <c r="AB40" s="3">
        <v>0</v>
      </c>
      <c r="AC40" s="3"/>
      <c r="AD40" s="3">
        <v>340</v>
      </c>
      <c r="AE40" s="3">
        <v>1246</v>
      </c>
      <c r="AF40" s="3">
        <v>1234</v>
      </c>
      <c r="AG40" s="3">
        <v>322</v>
      </c>
      <c r="AH40" s="3">
        <v>50</v>
      </c>
      <c r="AI40" s="41"/>
      <c r="AJ40" s="35">
        <v>0</v>
      </c>
      <c r="AK40" s="3">
        <v>0</v>
      </c>
      <c r="AL40" s="3"/>
      <c r="AM40" s="22">
        <v>4518.8275862068967</v>
      </c>
    </row>
    <row r="41" spans="1:39" s="1" customFormat="1">
      <c r="A41" s="16">
        <v>45352</v>
      </c>
      <c r="B41" s="3">
        <v>12149</v>
      </c>
      <c r="C41" s="3">
        <v>4063</v>
      </c>
      <c r="D41" s="3"/>
      <c r="E41" s="3">
        <v>3578</v>
      </c>
      <c r="F41" s="3">
        <v>8081</v>
      </c>
      <c r="G41" s="3">
        <v>5902</v>
      </c>
      <c r="H41" s="35">
        <v>0</v>
      </c>
      <c r="I41" s="3">
        <v>1780</v>
      </c>
      <c r="J41" s="3">
        <v>2536</v>
      </c>
      <c r="K41" s="3">
        <v>3796</v>
      </c>
      <c r="L41" s="3">
        <v>3653</v>
      </c>
      <c r="M41" s="3"/>
      <c r="N41" s="3">
        <v>7908</v>
      </c>
      <c r="O41" s="3">
        <v>12921</v>
      </c>
      <c r="P41" s="3"/>
      <c r="Q41" s="3">
        <v>1139</v>
      </c>
      <c r="R41" s="3">
        <v>3353</v>
      </c>
      <c r="S41" s="3">
        <v>2579</v>
      </c>
      <c r="T41" s="41"/>
      <c r="U41" s="3">
        <v>2930</v>
      </c>
      <c r="V41" s="3">
        <v>11744</v>
      </c>
      <c r="W41" s="3">
        <v>18988</v>
      </c>
      <c r="X41" s="3">
        <v>31863</v>
      </c>
      <c r="Y41" s="3">
        <v>22224</v>
      </c>
      <c r="Z41" s="35">
        <v>0</v>
      </c>
      <c r="AA41" s="41"/>
      <c r="AB41" s="3">
        <v>123</v>
      </c>
      <c r="AC41" s="3"/>
      <c r="AD41" s="3">
        <v>421</v>
      </c>
      <c r="AE41" s="3">
        <v>1666</v>
      </c>
      <c r="AF41" s="3">
        <v>1975</v>
      </c>
      <c r="AG41" s="3">
        <v>471</v>
      </c>
      <c r="AH41" s="3">
        <v>193</v>
      </c>
      <c r="AI41" s="41"/>
      <c r="AJ41" s="35">
        <v>0</v>
      </c>
      <c r="AK41" s="3">
        <v>0</v>
      </c>
      <c r="AL41" s="3"/>
      <c r="AM41" s="22">
        <v>5725.3793103448279</v>
      </c>
    </row>
    <row r="42" spans="1:39" s="1" customFormat="1">
      <c r="A42" s="16">
        <v>45383</v>
      </c>
      <c r="B42" s="3">
        <v>9996</v>
      </c>
      <c r="C42" s="3">
        <v>3153</v>
      </c>
      <c r="D42" s="3"/>
      <c r="E42" s="3">
        <v>3083</v>
      </c>
      <c r="F42" s="3">
        <v>6329</v>
      </c>
      <c r="G42" s="3">
        <v>3789</v>
      </c>
      <c r="H42" s="35">
        <v>0</v>
      </c>
      <c r="I42" s="3">
        <v>2491</v>
      </c>
      <c r="J42" s="3">
        <v>2199</v>
      </c>
      <c r="K42" s="3">
        <v>3202</v>
      </c>
      <c r="L42" s="3">
        <v>2776</v>
      </c>
      <c r="M42" s="3"/>
      <c r="N42" s="3">
        <v>5452</v>
      </c>
      <c r="O42" s="3">
        <v>10070</v>
      </c>
      <c r="P42" s="3"/>
      <c r="Q42" s="3">
        <v>580</v>
      </c>
      <c r="R42" s="3">
        <v>2551</v>
      </c>
      <c r="S42" s="3">
        <v>1794</v>
      </c>
      <c r="T42" s="41"/>
      <c r="U42" s="3">
        <v>2277</v>
      </c>
      <c r="V42" s="3">
        <v>9661</v>
      </c>
      <c r="W42" s="3">
        <v>16279</v>
      </c>
      <c r="X42" s="3">
        <v>25474</v>
      </c>
      <c r="Y42" s="3">
        <v>17805</v>
      </c>
      <c r="Z42" s="35">
        <v>0</v>
      </c>
      <c r="AA42" s="41"/>
      <c r="AB42" s="3">
        <v>704</v>
      </c>
      <c r="AC42" s="3"/>
      <c r="AD42" s="3">
        <v>543</v>
      </c>
      <c r="AE42" s="3">
        <v>1310</v>
      </c>
      <c r="AF42" s="3">
        <v>1698</v>
      </c>
      <c r="AG42" s="3">
        <v>312</v>
      </c>
      <c r="AH42" s="3">
        <v>187</v>
      </c>
      <c r="AI42" s="41"/>
      <c r="AJ42" s="35">
        <v>0</v>
      </c>
      <c r="AK42" s="3">
        <v>0</v>
      </c>
      <c r="AL42" s="3"/>
      <c r="AM42" s="22">
        <v>4610.8620689655172</v>
      </c>
    </row>
    <row r="43" spans="1:39" s="1" customFormat="1">
      <c r="A43" s="16">
        <v>45413</v>
      </c>
      <c r="B43" s="3">
        <v>11396</v>
      </c>
      <c r="C43" s="3">
        <v>3304</v>
      </c>
      <c r="D43" s="3"/>
      <c r="E43" s="3">
        <v>3376</v>
      </c>
      <c r="F43" s="3">
        <v>6412</v>
      </c>
      <c r="G43" s="3">
        <v>4170</v>
      </c>
      <c r="H43" s="35">
        <v>0</v>
      </c>
      <c r="I43" s="3">
        <v>2612</v>
      </c>
      <c r="J43" s="3">
        <v>2328</v>
      </c>
      <c r="K43" s="3">
        <v>4396</v>
      </c>
      <c r="L43" s="3">
        <v>2992</v>
      </c>
      <c r="M43" s="3"/>
      <c r="N43" s="3">
        <v>6399</v>
      </c>
      <c r="O43" s="3">
        <v>11415</v>
      </c>
      <c r="P43" s="3"/>
      <c r="Q43" s="3">
        <v>674</v>
      </c>
      <c r="R43" s="3">
        <v>2807</v>
      </c>
      <c r="S43" s="3">
        <v>2246</v>
      </c>
      <c r="T43" s="41"/>
      <c r="U43" s="3">
        <v>2695</v>
      </c>
      <c r="V43" s="3">
        <v>10656</v>
      </c>
      <c r="W43" s="3">
        <v>18509</v>
      </c>
      <c r="X43" s="3">
        <v>28018</v>
      </c>
      <c r="Y43" s="3">
        <v>20137</v>
      </c>
      <c r="Z43" s="35">
        <v>0</v>
      </c>
      <c r="AA43" s="41"/>
      <c r="AB43" s="3">
        <v>794</v>
      </c>
      <c r="AC43" s="3"/>
      <c r="AD43" s="3">
        <v>742</v>
      </c>
      <c r="AE43" s="3">
        <v>1553</v>
      </c>
      <c r="AF43" s="3">
        <v>2091</v>
      </c>
      <c r="AG43" s="3">
        <v>397</v>
      </c>
      <c r="AH43" s="3">
        <v>78</v>
      </c>
      <c r="AI43" s="41"/>
      <c r="AJ43" s="35">
        <v>0</v>
      </c>
      <c r="AK43" s="3">
        <v>0</v>
      </c>
      <c r="AL43" s="3"/>
      <c r="AM43" s="22">
        <v>5179.2068965517237</v>
      </c>
    </row>
    <row r="44" spans="1:39" s="1" customFormat="1">
      <c r="A44" s="16">
        <v>45444</v>
      </c>
      <c r="B44" s="3">
        <v>12033</v>
      </c>
      <c r="C44" s="3">
        <v>3941</v>
      </c>
      <c r="D44" s="3"/>
      <c r="E44" s="3">
        <v>3778</v>
      </c>
      <c r="F44" s="3">
        <v>7373</v>
      </c>
      <c r="G44" s="3">
        <v>4666</v>
      </c>
      <c r="H44" s="35">
        <v>0</v>
      </c>
      <c r="I44" s="3">
        <v>3147</v>
      </c>
      <c r="J44" s="3">
        <v>2705</v>
      </c>
      <c r="K44" s="3">
        <v>4472</v>
      </c>
      <c r="L44" s="3">
        <v>3347</v>
      </c>
      <c r="M44" s="3"/>
      <c r="N44" s="3">
        <v>7195</v>
      </c>
      <c r="O44" s="3">
        <v>12939</v>
      </c>
      <c r="P44" s="3"/>
      <c r="Q44" s="3">
        <v>745</v>
      </c>
      <c r="R44" s="3">
        <v>2918</v>
      </c>
      <c r="S44" s="3">
        <v>2352</v>
      </c>
      <c r="T44" s="41"/>
      <c r="U44" s="3">
        <v>3492</v>
      </c>
      <c r="V44" s="3">
        <v>12017</v>
      </c>
      <c r="W44" s="3">
        <v>21394</v>
      </c>
      <c r="X44" s="3">
        <v>31122</v>
      </c>
      <c r="Y44" s="3">
        <v>21131</v>
      </c>
      <c r="Z44" s="35">
        <v>0</v>
      </c>
      <c r="AA44" s="41"/>
      <c r="AB44" s="3">
        <v>995</v>
      </c>
      <c r="AC44" s="3"/>
      <c r="AD44" s="3">
        <v>1046</v>
      </c>
      <c r="AE44" s="3">
        <v>1659</v>
      </c>
      <c r="AF44" s="3">
        <v>2392</v>
      </c>
      <c r="AG44" s="3">
        <v>415</v>
      </c>
      <c r="AH44" s="3">
        <v>190</v>
      </c>
      <c r="AI44" s="41"/>
      <c r="AJ44" s="35">
        <v>0</v>
      </c>
      <c r="AK44" s="3">
        <v>0</v>
      </c>
      <c r="AL44" s="3"/>
      <c r="AM44" s="22">
        <v>5774.6206896551721</v>
      </c>
    </row>
    <row r="45" spans="1:39" s="1" customFormat="1">
      <c r="A45" s="16">
        <v>45474</v>
      </c>
      <c r="B45" s="3">
        <v>10613</v>
      </c>
      <c r="C45" s="3">
        <v>3614</v>
      </c>
      <c r="D45" s="3"/>
      <c r="E45" s="3">
        <v>3200</v>
      </c>
      <c r="F45" s="3">
        <v>6405</v>
      </c>
      <c r="G45" s="3">
        <v>3976</v>
      </c>
      <c r="H45" s="35">
        <v>0</v>
      </c>
      <c r="I45" s="3">
        <v>2789</v>
      </c>
      <c r="J45" s="3">
        <v>2217</v>
      </c>
      <c r="K45" s="3">
        <v>3792</v>
      </c>
      <c r="L45" s="3">
        <v>2889</v>
      </c>
      <c r="M45" s="3"/>
      <c r="N45" s="3">
        <v>5910</v>
      </c>
      <c r="O45" s="3">
        <v>11076</v>
      </c>
      <c r="P45" s="3"/>
      <c r="Q45" s="3">
        <v>771</v>
      </c>
      <c r="R45" s="3">
        <v>2449</v>
      </c>
      <c r="S45" s="3">
        <v>2291</v>
      </c>
      <c r="T45" s="41"/>
      <c r="U45" s="3">
        <v>2944</v>
      </c>
      <c r="V45" s="3">
        <v>10825</v>
      </c>
      <c r="W45" s="3">
        <v>17692</v>
      </c>
      <c r="X45" s="3">
        <v>26306</v>
      </c>
      <c r="Y45" s="3">
        <v>20061</v>
      </c>
      <c r="Z45" s="35">
        <v>0</v>
      </c>
      <c r="AA45" s="41"/>
      <c r="AB45" s="3">
        <v>873</v>
      </c>
      <c r="AC45" s="3"/>
      <c r="AD45" s="3">
        <v>931</v>
      </c>
      <c r="AE45" s="3">
        <v>1581</v>
      </c>
      <c r="AF45" s="3">
        <v>2107</v>
      </c>
      <c r="AG45" s="3">
        <v>363</v>
      </c>
      <c r="AH45" s="35">
        <v>0</v>
      </c>
      <c r="AI45" s="41"/>
      <c r="AJ45" s="35">
        <v>0</v>
      </c>
      <c r="AK45" s="3"/>
      <c r="AL45" s="3"/>
      <c r="AM45" s="22">
        <v>5202.6785714285716</v>
      </c>
    </row>
    <row r="46" spans="1:39" s="1" customFormat="1">
      <c r="A46" s="16">
        <v>45505</v>
      </c>
      <c r="B46" s="3">
        <v>11505</v>
      </c>
      <c r="C46" s="3">
        <v>3933</v>
      </c>
      <c r="D46" s="3"/>
      <c r="E46" s="3">
        <v>3654</v>
      </c>
      <c r="F46" s="3">
        <v>7130</v>
      </c>
      <c r="G46" s="3">
        <v>4453</v>
      </c>
      <c r="H46" s="35">
        <v>0</v>
      </c>
      <c r="I46" s="3">
        <v>2887</v>
      </c>
      <c r="J46" s="3">
        <v>2794</v>
      </c>
      <c r="K46" s="3">
        <v>4294</v>
      </c>
      <c r="L46" s="3">
        <v>3296</v>
      </c>
      <c r="M46" s="3"/>
      <c r="N46" s="3">
        <v>6337</v>
      </c>
      <c r="O46" s="3">
        <v>11683</v>
      </c>
      <c r="P46" s="3"/>
      <c r="Q46" s="3">
        <v>773</v>
      </c>
      <c r="R46" s="3">
        <v>2910</v>
      </c>
      <c r="S46" s="3">
        <v>2498</v>
      </c>
      <c r="T46" s="41"/>
      <c r="U46" s="3">
        <v>2862</v>
      </c>
      <c r="V46" s="3">
        <v>12357</v>
      </c>
      <c r="W46" s="3">
        <v>19311</v>
      </c>
      <c r="X46" s="3">
        <v>28294</v>
      </c>
      <c r="Y46" s="3">
        <v>21507</v>
      </c>
      <c r="Z46" s="35">
        <v>0</v>
      </c>
      <c r="AA46" s="41"/>
      <c r="AB46" s="3">
        <v>1032</v>
      </c>
      <c r="AC46" s="3"/>
      <c r="AD46" s="3">
        <v>1158</v>
      </c>
      <c r="AE46" s="3">
        <v>1741</v>
      </c>
      <c r="AF46" s="3">
        <v>2416</v>
      </c>
      <c r="AG46" s="3">
        <v>490</v>
      </c>
      <c r="AH46" s="3">
        <v>52</v>
      </c>
      <c r="AI46" s="41"/>
      <c r="AJ46" s="35">
        <v>0</v>
      </c>
      <c r="AK46" s="3"/>
      <c r="AL46" s="3"/>
      <c r="AM46" s="22">
        <v>5691.6785714285716</v>
      </c>
    </row>
    <row r="47" spans="1:39" s="1" customFormat="1">
      <c r="A47" s="16">
        <v>45536</v>
      </c>
      <c r="B47" s="3">
        <v>12663</v>
      </c>
      <c r="C47" s="3">
        <v>4368</v>
      </c>
      <c r="D47" s="3"/>
      <c r="E47" s="3">
        <v>3939</v>
      </c>
      <c r="F47" s="3">
        <v>8153</v>
      </c>
      <c r="G47" s="3">
        <v>4664</v>
      </c>
      <c r="H47" s="35">
        <v>0</v>
      </c>
      <c r="I47" s="3">
        <v>3277</v>
      </c>
      <c r="J47" s="3">
        <v>3312</v>
      </c>
      <c r="K47" s="3">
        <v>4518</v>
      </c>
      <c r="L47" s="3">
        <v>3567</v>
      </c>
      <c r="M47" s="3"/>
      <c r="N47" s="3">
        <v>7113</v>
      </c>
      <c r="O47" s="3">
        <v>12023</v>
      </c>
      <c r="P47" s="3"/>
      <c r="Q47" s="3">
        <v>860</v>
      </c>
      <c r="R47" s="3">
        <v>3535</v>
      </c>
      <c r="S47" s="3">
        <v>2930</v>
      </c>
      <c r="T47" s="41"/>
      <c r="U47" s="3">
        <v>3401</v>
      </c>
      <c r="V47" s="3">
        <v>13347</v>
      </c>
      <c r="W47" s="3">
        <v>19575</v>
      </c>
      <c r="X47" s="3">
        <v>29613</v>
      </c>
      <c r="Y47" s="3">
        <v>23909</v>
      </c>
      <c r="Z47" s="35">
        <v>0</v>
      </c>
      <c r="AA47" s="41"/>
      <c r="AB47" s="3">
        <v>1077</v>
      </c>
      <c r="AC47" s="3"/>
      <c r="AD47" s="3">
        <v>1697</v>
      </c>
      <c r="AE47" s="3">
        <v>1658</v>
      </c>
      <c r="AF47" s="3">
        <v>2744</v>
      </c>
      <c r="AG47" s="3">
        <v>351</v>
      </c>
      <c r="AH47" s="3">
        <v>45</v>
      </c>
      <c r="AI47" s="41"/>
      <c r="AJ47" s="35">
        <v>0</v>
      </c>
      <c r="AK47" s="3"/>
      <c r="AL47" s="3"/>
      <c r="AM47" s="22">
        <v>6154.9642857142853</v>
      </c>
    </row>
    <row r="48" spans="1:39" s="1" customFormat="1">
      <c r="A48" s="16">
        <v>45566</v>
      </c>
      <c r="B48" s="3">
        <v>10767</v>
      </c>
      <c r="C48" s="3">
        <v>3868</v>
      </c>
      <c r="D48" s="3"/>
      <c r="E48" s="3">
        <v>3470</v>
      </c>
      <c r="F48" s="3">
        <v>6793</v>
      </c>
      <c r="G48" s="3">
        <v>4178</v>
      </c>
      <c r="H48" s="35">
        <v>0</v>
      </c>
      <c r="I48" s="3">
        <v>2711</v>
      </c>
      <c r="J48" s="3">
        <v>2420</v>
      </c>
      <c r="K48" s="3">
        <v>3787</v>
      </c>
      <c r="L48" s="3">
        <v>3412</v>
      </c>
      <c r="M48" s="3"/>
      <c r="N48" s="3">
        <v>6315</v>
      </c>
      <c r="O48" s="3">
        <v>11001</v>
      </c>
      <c r="P48" s="3"/>
      <c r="Q48" s="3">
        <v>721</v>
      </c>
      <c r="R48" s="3">
        <v>2223</v>
      </c>
      <c r="S48" s="3">
        <v>2600</v>
      </c>
      <c r="T48" s="41"/>
      <c r="U48" s="3">
        <v>2781</v>
      </c>
      <c r="V48" s="3">
        <v>10781</v>
      </c>
      <c r="W48" s="3">
        <v>16928</v>
      </c>
      <c r="X48" s="3">
        <v>24794</v>
      </c>
      <c r="Y48" s="3">
        <v>19979</v>
      </c>
      <c r="Z48" s="35">
        <v>0</v>
      </c>
      <c r="AA48" s="41"/>
      <c r="AB48" s="3">
        <v>918</v>
      </c>
      <c r="AC48" s="3"/>
      <c r="AD48" s="3">
        <v>1289</v>
      </c>
      <c r="AE48" s="3">
        <v>1441</v>
      </c>
      <c r="AF48" s="3">
        <v>2374</v>
      </c>
      <c r="AG48" s="3">
        <v>373</v>
      </c>
      <c r="AH48" s="3">
        <v>6</v>
      </c>
      <c r="AI48" s="41"/>
      <c r="AJ48" s="35">
        <v>0</v>
      </c>
      <c r="AK48" s="3"/>
      <c r="AL48" s="3"/>
      <c r="AM48" s="22">
        <v>5211.7857142857147</v>
      </c>
    </row>
    <row r="49" spans="1:45" s="1" customFormat="1">
      <c r="A49" s="16">
        <v>45597</v>
      </c>
      <c r="B49" s="3">
        <v>11461</v>
      </c>
      <c r="C49" s="3">
        <v>4656</v>
      </c>
      <c r="D49" s="3"/>
      <c r="E49" s="3">
        <v>3772</v>
      </c>
      <c r="F49" s="3">
        <v>7537</v>
      </c>
      <c r="G49" s="3">
        <v>5400</v>
      </c>
      <c r="H49" s="35">
        <v>0</v>
      </c>
      <c r="I49" s="3">
        <v>3478</v>
      </c>
      <c r="J49" s="3">
        <v>2735</v>
      </c>
      <c r="K49" s="3">
        <v>4103</v>
      </c>
      <c r="L49" s="3">
        <v>3444</v>
      </c>
      <c r="M49" s="3"/>
      <c r="N49" s="3">
        <v>7287</v>
      </c>
      <c r="O49" s="3">
        <v>13401</v>
      </c>
      <c r="P49" s="3"/>
      <c r="Q49" s="3">
        <v>780</v>
      </c>
      <c r="R49" s="3">
        <v>2995</v>
      </c>
      <c r="S49" s="3">
        <v>3136</v>
      </c>
      <c r="T49" s="41"/>
      <c r="U49" s="3">
        <v>3116</v>
      </c>
      <c r="V49" s="3">
        <v>12560</v>
      </c>
      <c r="W49" s="3">
        <v>16953</v>
      </c>
      <c r="X49" s="3">
        <v>28541</v>
      </c>
      <c r="Y49" s="3">
        <v>23752</v>
      </c>
      <c r="Z49" s="35">
        <v>0</v>
      </c>
      <c r="AA49" s="41"/>
      <c r="AB49" s="3">
        <v>1432</v>
      </c>
      <c r="AC49" s="3"/>
      <c r="AD49" s="3">
        <v>1499</v>
      </c>
      <c r="AE49" s="3">
        <v>1964</v>
      </c>
      <c r="AF49" s="3">
        <v>2542</v>
      </c>
      <c r="AG49" s="3">
        <v>474</v>
      </c>
      <c r="AH49" s="35">
        <v>0</v>
      </c>
      <c r="AI49" s="41"/>
      <c r="AJ49" s="35">
        <v>0</v>
      </c>
      <c r="AK49" s="3"/>
      <c r="AL49" s="3"/>
      <c r="AM49" s="22">
        <v>5964.9285714285716</v>
      </c>
    </row>
    <row r="50" spans="1:45" s="1" customFormat="1">
      <c r="A50" s="16">
        <v>45627</v>
      </c>
      <c r="B50" s="3">
        <v>9438</v>
      </c>
      <c r="C50" s="3">
        <v>4364</v>
      </c>
      <c r="D50" s="3"/>
      <c r="E50" s="3">
        <v>3267</v>
      </c>
      <c r="F50" s="3">
        <v>6252</v>
      </c>
      <c r="G50" s="3">
        <v>5024</v>
      </c>
      <c r="H50" s="35">
        <v>0</v>
      </c>
      <c r="I50" s="3">
        <v>3249</v>
      </c>
      <c r="J50" s="3">
        <v>2279</v>
      </c>
      <c r="K50" s="3">
        <v>3423</v>
      </c>
      <c r="L50" s="3">
        <v>3107</v>
      </c>
      <c r="M50" s="3"/>
      <c r="N50" s="3">
        <v>6972</v>
      </c>
      <c r="O50" s="3">
        <v>11956</v>
      </c>
      <c r="P50" s="3"/>
      <c r="Q50" s="3">
        <v>671</v>
      </c>
      <c r="R50" s="3">
        <v>2201</v>
      </c>
      <c r="S50" s="3">
        <v>2786</v>
      </c>
      <c r="T50" s="41"/>
      <c r="U50" s="3">
        <v>2129</v>
      </c>
      <c r="V50" s="3">
        <v>11382</v>
      </c>
      <c r="W50" s="3">
        <v>15241</v>
      </c>
      <c r="X50" s="3">
        <v>25924</v>
      </c>
      <c r="Y50" s="3">
        <v>23048</v>
      </c>
      <c r="Z50" s="35">
        <v>0</v>
      </c>
      <c r="AA50" s="41"/>
      <c r="AB50" s="3">
        <v>1324</v>
      </c>
      <c r="AC50" s="3"/>
      <c r="AD50" s="3">
        <v>1201</v>
      </c>
      <c r="AE50" s="3">
        <v>1837</v>
      </c>
      <c r="AF50" s="3">
        <v>2313</v>
      </c>
      <c r="AG50" s="3">
        <v>374</v>
      </c>
      <c r="AH50" s="35">
        <v>0</v>
      </c>
      <c r="AI50" s="41"/>
      <c r="AJ50" s="35">
        <v>0</v>
      </c>
      <c r="AK50" s="3"/>
      <c r="AL50" s="3"/>
      <c r="AM50" s="22">
        <v>5348.6428571428569</v>
      </c>
    </row>
    <row r="51" spans="1:45" s="1" customFormat="1"/>
    <row r="52" spans="1:45" s="1" customFormat="1"/>
    <row r="53" spans="1:45">
      <c r="A53" s="1" t="s">
        <v>0</v>
      </c>
      <c r="B53" s="63" t="s">
        <v>4</v>
      </c>
      <c r="C53" s="63"/>
      <c r="D53" s="63"/>
      <c r="E53" s="63"/>
      <c r="F53" s="64" t="s">
        <v>6</v>
      </c>
      <c r="G53" s="64"/>
      <c r="H53" s="64"/>
    </row>
    <row r="54" spans="1:45">
      <c r="A54" s="14">
        <v>44197</v>
      </c>
      <c r="B54" s="11">
        <v>1621.84</v>
      </c>
      <c r="C54" s="11">
        <v>1291.03</v>
      </c>
      <c r="D54" s="11">
        <v>1644.96</v>
      </c>
      <c r="E54" s="11">
        <v>827.51</v>
      </c>
      <c r="F54" s="11">
        <v>1611.04</v>
      </c>
      <c r="G54" s="11">
        <v>1453.24</v>
      </c>
      <c r="H54" s="30">
        <v>0</v>
      </c>
      <c r="I54" s="11">
        <v>946.74</v>
      </c>
      <c r="J54" s="11">
        <v>575.85</v>
      </c>
      <c r="K54" s="11">
        <v>504.18</v>
      </c>
      <c r="L54" s="11">
        <v>1242.77</v>
      </c>
      <c r="M54" s="11">
        <v>233.67</v>
      </c>
      <c r="N54" s="11">
        <v>3416.61</v>
      </c>
      <c r="O54" s="11">
        <v>3405.48</v>
      </c>
      <c r="P54" s="11">
        <v>309.29000000000002</v>
      </c>
      <c r="Q54" s="11">
        <v>438.39</v>
      </c>
      <c r="R54" s="11">
        <v>1479.05</v>
      </c>
      <c r="S54" s="11">
        <v>624.25</v>
      </c>
      <c r="T54" s="40"/>
      <c r="U54" s="11">
        <v>793.68</v>
      </c>
      <c r="V54" s="11">
        <v>4043.21</v>
      </c>
      <c r="W54" s="11">
        <v>5659.95</v>
      </c>
      <c r="X54" s="11">
        <v>7187.53</v>
      </c>
      <c r="Y54" s="11">
        <v>8177.56</v>
      </c>
      <c r="Z54" s="11"/>
      <c r="AA54" s="11"/>
      <c r="AB54" s="11"/>
      <c r="AC54" s="11">
        <v>113.62</v>
      </c>
      <c r="AD54" s="11"/>
      <c r="AE54" s="11">
        <v>443.14</v>
      </c>
      <c r="AF54" s="11">
        <v>155.85</v>
      </c>
      <c r="AG54" s="11"/>
      <c r="AH54" s="40"/>
      <c r="AI54" s="40"/>
      <c r="AJ54" s="42"/>
      <c r="AK54" s="42"/>
      <c r="AL54" s="7"/>
      <c r="AM54" s="17">
        <v>1853.863076923077</v>
      </c>
      <c r="AN54" s="7"/>
      <c r="AO54" s="7"/>
      <c r="AP54" s="7"/>
      <c r="AQ54" s="7"/>
      <c r="AR54" s="7"/>
      <c r="AS54" s="7"/>
    </row>
    <row r="55" spans="1:45">
      <c r="A55" s="14">
        <v>44228</v>
      </c>
      <c r="B55" s="11">
        <v>1214</v>
      </c>
      <c r="C55" s="11">
        <v>825</v>
      </c>
      <c r="D55" s="11">
        <v>873</v>
      </c>
      <c r="E55" s="11">
        <v>380</v>
      </c>
      <c r="F55" s="11">
        <v>1161</v>
      </c>
      <c r="G55" s="11">
        <v>974</v>
      </c>
      <c r="H55" s="30">
        <v>0</v>
      </c>
      <c r="I55" s="11">
        <v>438</v>
      </c>
      <c r="J55" s="11">
        <v>561</v>
      </c>
      <c r="K55" s="11">
        <v>330</v>
      </c>
      <c r="L55" s="11">
        <v>628</v>
      </c>
      <c r="M55" s="11">
        <v>147</v>
      </c>
      <c r="N55" s="11">
        <v>2185</v>
      </c>
      <c r="O55" s="11">
        <v>2288</v>
      </c>
      <c r="P55" s="11">
        <v>130</v>
      </c>
      <c r="Q55" s="11">
        <v>236</v>
      </c>
      <c r="R55" s="11">
        <v>765</v>
      </c>
      <c r="S55" s="11">
        <v>405</v>
      </c>
      <c r="T55" s="40"/>
      <c r="U55" s="11">
        <v>426</v>
      </c>
      <c r="V55" s="11">
        <v>2641</v>
      </c>
      <c r="W55" s="11">
        <v>3911</v>
      </c>
      <c r="X55" s="11">
        <v>4943</v>
      </c>
      <c r="Y55" s="11">
        <v>5477</v>
      </c>
      <c r="Z55" s="11">
        <v>0</v>
      </c>
      <c r="AA55" s="11"/>
      <c r="AB55" s="11"/>
      <c r="AC55" s="11">
        <v>65</v>
      </c>
      <c r="AD55" s="11"/>
      <c r="AE55" s="11">
        <v>283</v>
      </c>
      <c r="AF55" s="11">
        <v>77</v>
      </c>
      <c r="AG55" s="11"/>
      <c r="AH55" s="30">
        <v>0</v>
      </c>
      <c r="AI55" s="40"/>
      <c r="AJ55" s="42"/>
      <c r="AK55" s="42">
        <v>0</v>
      </c>
      <c r="AL55" s="7"/>
      <c r="AM55" s="17">
        <v>1081.4827586206898</v>
      </c>
      <c r="AN55" s="7"/>
      <c r="AO55" s="7"/>
      <c r="AP55" s="7"/>
      <c r="AQ55" s="7"/>
      <c r="AR55" s="7"/>
      <c r="AS55" s="7"/>
    </row>
    <row r="56" spans="1:45">
      <c r="A56" s="14">
        <v>44256</v>
      </c>
      <c r="B56" s="11">
        <v>1252</v>
      </c>
      <c r="C56" s="11">
        <v>937</v>
      </c>
      <c r="D56" s="11">
        <v>1250</v>
      </c>
      <c r="E56" s="11">
        <v>536</v>
      </c>
      <c r="F56" s="11">
        <v>1156</v>
      </c>
      <c r="G56" s="11">
        <v>1023</v>
      </c>
      <c r="H56" s="30">
        <v>0</v>
      </c>
      <c r="I56" s="11">
        <v>550</v>
      </c>
      <c r="J56" s="11">
        <v>537</v>
      </c>
      <c r="K56" s="11">
        <v>358</v>
      </c>
      <c r="L56" s="11">
        <v>850</v>
      </c>
      <c r="M56" s="11">
        <v>203</v>
      </c>
      <c r="N56" s="11">
        <v>2442</v>
      </c>
      <c r="O56" s="11">
        <v>2363</v>
      </c>
      <c r="P56" s="11">
        <v>224</v>
      </c>
      <c r="Q56" s="11">
        <v>242</v>
      </c>
      <c r="R56" s="11">
        <v>766</v>
      </c>
      <c r="S56" s="11">
        <v>607</v>
      </c>
      <c r="T56" s="40"/>
      <c r="U56" s="11">
        <v>530</v>
      </c>
      <c r="V56" s="11">
        <v>2766</v>
      </c>
      <c r="W56" s="11">
        <v>4024</v>
      </c>
      <c r="X56" s="11">
        <v>5566</v>
      </c>
      <c r="Y56" s="11">
        <v>5587</v>
      </c>
      <c r="Z56" s="11">
        <v>0</v>
      </c>
      <c r="AA56" s="11"/>
      <c r="AB56" s="11"/>
      <c r="AC56" s="11">
        <v>80</v>
      </c>
      <c r="AD56" s="11"/>
      <c r="AE56" s="11">
        <v>368</v>
      </c>
      <c r="AF56" s="11">
        <v>87</v>
      </c>
      <c r="AG56" s="11"/>
      <c r="AH56" s="30">
        <v>0</v>
      </c>
      <c r="AI56" s="40"/>
      <c r="AJ56" s="42"/>
      <c r="AK56" s="42">
        <v>0</v>
      </c>
      <c r="AL56" s="7"/>
      <c r="AM56" s="17">
        <v>1182.8965517241379</v>
      </c>
      <c r="AN56" s="7"/>
      <c r="AO56" s="7"/>
      <c r="AP56" s="7"/>
      <c r="AQ56" s="7"/>
      <c r="AR56" s="7"/>
      <c r="AS56" s="7"/>
    </row>
    <row r="57" spans="1:45">
      <c r="A57" s="14">
        <v>44287</v>
      </c>
      <c r="B57" s="11">
        <v>1439</v>
      </c>
      <c r="C57" s="11">
        <v>891</v>
      </c>
      <c r="D57" s="11">
        <v>1320</v>
      </c>
      <c r="E57" s="11">
        <v>542</v>
      </c>
      <c r="F57" s="11">
        <v>1378</v>
      </c>
      <c r="G57" s="11">
        <v>1099</v>
      </c>
      <c r="H57" s="30">
        <v>0</v>
      </c>
      <c r="I57" s="11">
        <v>640</v>
      </c>
      <c r="J57" s="11">
        <v>659</v>
      </c>
      <c r="K57" s="11">
        <v>451</v>
      </c>
      <c r="L57" s="11">
        <v>930</v>
      </c>
      <c r="M57" s="11">
        <v>176</v>
      </c>
      <c r="N57" s="11">
        <v>2421</v>
      </c>
      <c r="O57" s="11">
        <v>2628</v>
      </c>
      <c r="P57" s="11">
        <v>179</v>
      </c>
      <c r="Q57" s="11">
        <v>282</v>
      </c>
      <c r="R57" s="11">
        <v>838</v>
      </c>
      <c r="S57" s="11">
        <v>638</v>
      </c>
      <c r="T57" s="40"/>
      <c r="U57" s="11">
        <v>562</v>
      </c>
      <c r="V57" s="11">
        <v>3047</v>
      </c>
      <c r="W57" s="11">
        <v>4428</v>
      </c>
      <c r="X57" s="11">
        <v>6190</v>
      </c>
      <c r="Y57" s="11">
        <v>5910</v>
      </c>
      <c r="Z57" s="11">
        <v>0</v>
      </c>
      <c r="AA57" s="11"/>
      <c r="AB57" s="11"/>
      <c r="AC57" s="11">
        <v>41</v>
      </c>
      <c r="AD57" s="11"/>
      <c r="AE57" s="11">
        <v>286</v>
      </c>
      <c r="AF57" s="11">
        <v>119</v>
      </c>
      <c r="AG57" s="11"/>
      <c r="AH57" s="30">
        <v>0</v>
      </c>
      <c r="AI57" s="40"/>
      <c r="AJ57" s="42"/>
      <c r="AK57" s="42">
        <v>0</v>
      </c>
      <c r="AL57" s="7"/>
      <c r="AM57" s="17">
        <v>1279.1034482758621</v>
      </c>
      <c r="AN57" s="7"/>
      <c r="AO57" s="7"/>
      <c r="AP57" s="7"/>
      <c r="AQ57" s="7"/>
      <c r="AR57" s="7"/>
      <c r="AS57" s="7"/>
    </row>
    <row r="58" spans="1:45">
      <c r="A58" s="14">
        <v>44317</v>
      </c>
      <c r="B58" s="11">
        <v>1736</v>
      </c>
      <c r="C58" s="11">
        <v>1163</v>
      </c>
      <c r="D58" s="11">
        <v>1876</v>
      </c>
      <c r="E58" s="11">
        <v>838</v>
      </c>
      <c r="F58" s="11">
        <v>1811</v>
      </c>
      <c r="G58" s="11">
        <v>1425</v>
      </c>
      <c r="H58" s="30">
        <v>0</v>
      </c>
      <c r="I58" s="11">
        <v>866</v>
      </c>
      <c r="J58" s="11">
        <v>792</v>
      </c>
      <c r="K58" s="11">
        <v>496</v>
      </c>
      <c r="L58" s="11">
        <v>1144</v>
      </c>
      <c r="M58" s="11">
        <v>134</v>
      </c>
      <c r="N58" s="11">
        <v>3056</v>
      </c>
      <c r="O58" s="11">
        <v>3971</v>
      </c>
      <c r="P58" s="11">
        <v>120</v>
      </c>
      <c r="Q58" s="11">
        <v>418</v>
      </c>
      <c r="R58" s="11">
        <v>1040</v>
      </c>
      <c r="S58" s="11">
        <v>648</v>
      </c>
      <c r="T58" s="40"/>
      <c r="U58" s="11">
        <v>717</v>
      </c>
      <c r="V58" s="11">
        <v>3523</v>
      </c>
      <c r="W58" s="11">
        <v>5697</v>
      </c>
      <c r="X58" s="11">
        <v>8692</v>
      </c>
      <c r="Y58" s="11">
        <v>7885</v>
      </c>
      <c r="Z58" s="11">
        <v>0</v>
      </c>
      <c r="AA58" s="11"/>
      <c r="AB58" s="11"/>
      <c r="AC58" s="11">
        <v>0</v>
      </c>
      <c r="AD58" s="11"/>
      <c r="AE58" s="11">
        <v>598</v>
      </c>
      <c r="AF58" s="11">
        <v>181</v>
      </c>
      <c r="AG58" s="11"/>
      <c r="AH58" s="30">
        <v>0</v>
      </c>
      <c r="AI58" s="40"/>
      <c r="AJ58" s="42"/>
      <c r="AK58" s="10">
        <v>0</v>
      </c>
      <c r="AL58" s="7"/>
      <c r="AM58" s="17">
        <v>1683.6896551724137</v>
      </c>
      <c r="AN58" s="7"/>
      <c r="AO58" s="7"/>
      <c r="AP58" s="7"/>
      <c r="AQ58" s="7"/>
      <c r="AR58" s="7"/>
      <c r="AS58" s="7"/>
    </row>
    <row r="59" spans="1:45">
      <c r="A59" s="14">
        <v>44348</v>
      </c>
      <c r="B59" s="11">
        <v>1382</v>
      </c>
      <c r="C59" s="11">
        <v>1042</v>
      </c>
      <c r="D59" s="11">
        <v>1527</v>
      </c>
      <c r="E59" s="11">
        <v>755</v>
      </c>
      <c r="F59" s="11">
        <v>1553</v>
      </c>
      <c r="G59" s="11">
        <v>1188</v>
      </c>
      <c r="H59" s="30">
        <v>0</v>
      </c>
      <c r="I59" s="11">
        <v>694</v>
      </c>
      <c r="J59" s="11">
        <v>742</v>
      </c>
      <c r="K59" s="11">
        <v>446</v>
      </c>
      <c r="L59" s="11">
        <v>969</v>
      </c>
      <c r="M59" s="11">
        <v>125</v>
      </c>
      <c r="N59" s="11">
        <v>2732</v>
      </c>
      <c r="O59" s="11">
        <v>3408</v>
      </c>
      <c r="P59" s="11">
        <v>126</v>
      </c>
      <c r="Q59" s="11">
        <v>391</v>
      </c>
      <c r="R59" s="11">
        <v>867</v>
      </c>
      <c r="S59" s="11">
        <v>787</v>
      </c>
      <c r="T59" s="40"/>
      <c r="U59" s="11">
        <v>474</v>
      </c>
      <c r="V59" s="11">
        <v>3341</v>
      </c>
      <c r="W59" s="11">
        <v>4937</v>
      </c>
      <c r="X59" s="11">
        <v>7475</v>
      </c>
      <c r="Y59" s="11">
        <v>6978</v>
      </c>
      <c r="Z59" s="11">
        <v>0</v>
      </c>
      <c r="AA59" s="11"/>
      <c r="AB59" s="11"/>
      <c r="AC59" s="11">
        <v>0</v>
      </c>
      <c r="AD59" s="11"/>
      <c r="AE59" s="11">
        <v>523</v>
      </c>
      <c r="AF59" s="11">
        <v>204</v>
      </c>
      <c r="AG59" s="11"/>
      <c r="AH59" s="30">
        <v>0</v>
      </c>
      <c r="AI59" s="40"/>
      <c r="AJ59" s="42"/>
      <c r="AK59" s="10">
        <v>0</v>
      </c>
      <c r="AL59" s="7"/>
      <c r="AM59" s="17">
        <v>1471.2413793103449</v>
      </c>
      <c r="AN59" s="7"/>
      <c r="AO59" s="7"/>
      <c r="AP59" s="7"/>
      <c r="AQ59" s="7"/>
      <c r="AR59" s="7"/>
      <c r="AS59" s="7"/>
    </row>
    <row r="60" spans="1:45">
      <c r="A60" s="14">
        <v>44378</v>
      </c>
      <c r="B60" s="11">
        <v>1757</v>
      </c>
      <c r="C60" s="11">
        <v>1450</v>
      </c>
      <c r="D60" s="11">
        <v>2057</v>
      </c>
      <c r="E60" s="11">
        <v>1024</v>
      </c>
      <c r="F60" s="11">
        <v>2200</v>
      </c>
      <c r="G60" s="11">
        <v>1660</v>
      </c>
      <c r="H60" s="30">
        <v>0</v>
      </c>
      <c r="I60" s="11">
        <v>761</v>
      </c>
      <c r="J60" s="11">
        <v>936</v>
      </c>
      <c r="K60" s="11">
        <v>575</v>
      </c>
      <c r="L60" s="11">
        <v>1335</v>
      </c>
      <c r="M60" s="11">
        <v>150</v>
      </c>
      <c r="N60" s="11">
        <v>3349</v>
      </c>
      <c r="O60" s="11">
        <v>4493</v>
      </c>
      <c r="P60" s="11">
        <v>125</v>
      </c>
      <c r="Q60" s="11">
        <v>452</v>
      </c>
      <c r="R60" s="11">
        <v>1113</v>
      </c>
      <c r="S60" s="11">
        <v>1032</v>
      </c>
      <c r="T60" s="40"/>
      <c r="U60" s="11">
        <v>835</v>
      </c>
      <c r="V60" s="11">
        <v>4294</v>
      </c>
      <c r="W60" s="11">
        <v>6282</v>
      </c>
      <c r="X60" s="11">
        <v>10963</v>
      </c>
      <c r="Y60" s="11">
        <v>8573</v>
      </c>
      <c r="Z60" s="11">
        <v>0</v>
      </c>
      <c r="AA60" s="11"/>
      <c r="AB60" s="11"/>
      <c r="AC60" s="11">
        <v>0</v>
      </c>
      <c r="AD60" s="11"/>
      <c r="AE60" s="11">
        <v>630</v>
      </c>
      <c r="AF60" s="11">
        <v>300</v>
      </c>
      <c r="AG60" s="11"/>
      <c r="AH60" s="30">
        <v>0</v>
      </c>
      <c r="AI60" s="40"/>
      <c r="AJ60" s="42"/>
      <c r="AK60" s="10">
        <v>0</v>
      </c>
      <c r="AL60" s="7"/>
      <c r="AM60" s="17">
        <v>1942.9655172413793</v>
      </c>
      <c r="AN60" s="7"/>
      <c r="AO60" s="7"/>
      <c r="AP60" s="7"/>
      <c r="AQ60" s="7"/>
      <c r="AR60" s="7"/>
      <c r="AS60" s="7"/>
    </row>
    <row r="61" spans="1:45">
      <c r="A61" s="14">
        <v>44409</v>
      </c>
      <c r="B61" s="11">
        <v>1436</v>
      </c>
      <c r="C61" s="11">
        <v>1144</v>
      </c>
      <c r="D61" s="11">
        <v>1688</v>
      </c>
      <c r="E61" s="11">
        <v>741</v>
      </c>
      <c r="F61" s="11">
        <v>1940</v>
      </c>
      <c r="G61" s="11">
        <v>1357</v>
      </c>
      <c r="H61" s="30">
        <v>0</v>
      </c>
      <c r="I61" s="11">
        <v>646</v>
      </c>
      <c r="J61" s="11">
        <v>816</v>
      </c>
      <c r="K61" s="11">
        <v>543</v>
      </c>
      <c r="L61" s="11">
        <v>1045</v>
      </c>
      <c r="M61" s="11">
        <v>136</v>
      </c>
      <c r="N61" s="11">
        <v>2529</v>
      </c>
      <c r="O61" s="11">
        <v>3555</v>
      </c>
      <c r="P61" s="11">
        <v>131</v>
      </c>
      <c r="Q61" s="11">
        <v>370</v>
      </c>
      <c r="R61" s="11">
        <v>848</v>
      </c>
      <c r="S61" s="11">
        <v>760</v>
      </c>
      <c r="T61" s="40"/>
      <c r="U61" s="11">
        <v>619</v>
      </c>
      <c r="V61" s="11">
        <v>3253</v>
      </c>
      <c r="W61" s="11">
        <v>5256</v>
      </c>
      <c r="X61" s="11">
        <v>8560</v>
      </c>
      <c r="Y61" s="11">
        <v>6795</v>
      </c>
      <c r="Z61" s="11">
        <v>0</v>
      </c>
      <c r="AA61" s="11"/>
      <c r="AB61" s="11"/>
      <c r="AC61" s="11">
        <v>0</v>
      </c>
      <c r="AD61" s="11"/>
      <c r="AE61" s="11">
        <v>525</v>
      </c>
      <c r="AF61" s="11">
        <v>257</v>
      </c>
      <c r="AG61" s="11"/>
      <c r="AH61" s="30">
        <v>0</v>
      </c>
      <c r="AI61" s="40"/>
      <c r="AJ61" s="42"/>
      <c r="AK61" s="10">
        <v>0</v>
      </c>
      <c r="AL61" s="7"/>
      <c r="AM61" s="17">
        <v>1550</v>
      </c>
      <c r="AN61" s="7"/>
      <c r="AO61" s="7"/>
      <c r="AP61" s="7"/>
      <c r="AQ61" s="7"/>
      <c r="AR61" s="7"/>
      <c r="AS61" s="7"/>
    </row>
    <row r="62" spans="1:45">
      <c r="A62" s="14">
        <v>44440</v>
      </c>
      <c r="B62" s="11">
        <v>1627</v>
      </c>
      <c r="C62" s="11">
        <v>958</v>
      </c>
      <c r="D62" s="11">
        <v>1726</v>
      </c>
      <c r="E62" s="11">
        <v>712</v>
      </c>
      <c r="F62" s="11">
        <v>2377</v>
      </c>
      <c r="G62" s="11">
        <v>1293</v>
      </c>
      <c r="H62" s="30">
        <v>0</v>
      </c>
      <c r="I62" s="11">
        <v>569</v>
      </c>
      <c r="J62" s="11">
        <v>821</v>
      </c>
      <c r="K62" s="11">
        <v>577</v>
      </c>
      <c r="L62" s="11">
        <v>1065</v>
      </c>
      <c r="M62" s="11">
        <v>162</v>
      </c>
      <c r="N62" s="11">
        <v>2523</v>
      </c>
      <c r="O62" s="11">
        <v>3689</v>
      </c>
      <c r="P62" s="11">
        <v>142</v>
      </c>
      <c r="Q62" s="11">
        <v>373</v>
      </c>
      <c r="R62" s="11">
        <v>913</v>
      </c>
      <c r="S62" s="11">
        <v>663</v>
      </c>
      <c r="T62" s="40"/>
      <c r="U62" s="11">
        <v>616</v>
      </c>
      <c r="V62" s="11">
        <v>3701</v>
      </c>
      <c r="W62" s="11">
        <v>5360</v>
      </c>
      <c r="X62" s="11">
        <v>8616</v>
      </c>
      <c r="Y62" s="11">
        <v>6739</v>
      </c>
      <c r="Z62" s="11">
        <v>0</v>
      </c>
      <c r="AA62" s="11"/>
      <c r="AB62" s="11"/>
      <c r="AC62" s="11">
        <v>0</v>
      </c>
      <c r="AD62" s="11"/>
      <c r="AE62" s="11">
        <v>491</v>
      </c>
      <c r="AF62" s="11">
        <v>202</v>
      </c>
      <c r="AG62" s="11"/>
      <c r="AH62" s="30">
        <v>0</v>
      </c>
      <c r="AI62" s="40"/>
      <c r="AJ62" s="42"/>
      <c r="AK62" s="10">
        <v>0</v>
      </c>
      <c r="AL62" s="7"/>
      <c r="AM62" s="17">
        <v>1583.2758620689656</v>
      </c>
      <c r="AN62" s="7"/>
      <c r="AO62" s="7"/>
      <c r="AP62" s="7"/>
      <c r="AQ62" s="7"/>
      <c r="AR62" s="7"/>
      <c r="AS62" s="7"/>
    </row>
    <row r="63" spans="1:45">
      <c r="A63" s="14">
        <v>44470</v>
      </c>
      <c r="B63" s="11">
        <v>2178</v>
      </c>
      <c r="C63" s="11">
        <v>1430</v>
      </c>
      <c r="D63" s="11">
        <v>2474</v>
      </c>
      <c r="E63" s="11">
        <v>1071</v>
      </c>
      <c r="F63" s="11">
        <v>2838</v>
      </c>
      <c r="G63" s="11">
        <v>1801</v>
      </c>
      <c r="H63" s="30">
        <v>0</v>
      </c>
      <c r="I63" s="11">
        <v>923</v>
      </c>
      <c r="J63" s="11">
        <v>1139</v>
      </c>
      <c r="K63" s="11">
        <v>780</v>
      </c>
      <c r="L63" s="11">
        <v>1554</v>
      </c>
      <c r="M63" s="11">
        <v>185</v>
      </c>
      <c r="N63" s="11">
        <v>3592</v>
      </c>
      <c r="O63" s="11">
        <v>5065</v>
      </c>
      <c r="P63" s="11">
        <v>177</v>
      </c>
      <c r="Q63" s="11">
        <v>527</v>
      </c>
      <c r="R63" s="11">
        <v>1175</v>
      </c>
      <c r="S63" s="11">
        <v>1047</v>
      </c>
      <c r="T63" s="40"/>
      <c r="U63" s="11">
        <v>811</v>
      </c>
      <c r="V63" s="11">
        <v>4687</v>
      </c>
      <c r="W63" s="11">
        <v>7109</v>
      </c>
      <c r="X63" s="11">
        <v>11872</v>
      </c>
      <c r="Y63" s="11">
        <v>9026</v>
      </c>
      <c r="Z63" s="11">
        <v>0</v>
      </c>
      <c r="AA63" s="11"/>
      <c r="AB63" s="11"/>
      <c r="AC63" s="11">
        <v>0</v>
      </c>
      <c r="AD63" s="11"/>
      <c r="AE63" s="11">
        <v>773</v>
      </c>
      <c r="AF63" s="11">
        <v>247</v>
      </c>
      <c r="AG63" s="11"/>
      <c r="AH63" s="30">
        <v>0</v>
      </c>
      <c r="AI63" s="40"/>
      <c r="AJ63" s="42"/>
      <c r="AK63" s="10">
        <v>0</v>
      </c>
      <c r="AL63" s="7"/>
      <c r="AM63" s="17">
        <v>2154.5172413793102</v>
      </c>
      <c r="AN63" s="7"/>
      <c r="AO63" s="7"/>
      <c r="AP63" s="7"/>
      <c r="AQ63" s="7"/>
      <c r="AR63" s="7"/>
      <c r="AS63" s="7"/>
    </row>
    <row r="64" spans="1:45">
      <c r="A64" s="14">
        <v>44501</v>
      </c>
      <c r="B64" s="11">
        <v>1590</v>
      </c>
      <c r="C64" s="11">
        <v>1169</v>
      </c>
      <c r="D64" s="11">
        <v>1735</v>
      </c>
      <c r="E64" s="11">
        <v>791</v>
      </c>
      <c r="F64" s="11">
        <v>2128</v>
      </c>
      <c r="G64" s="11">
        <v>1415</v>
      </c>
      <c r="H64" s="30">
        <v>0</v>
      </c>
      <c r="I64" s="11">
        <v>722</v>
      </c>
      <c r="J64" s="11">
        <v>864</v>
      </c>
      <c r="K64" s="11">
        <v>536</v>
      </c>
      <c r="L64" s="11">
        <v>1209</v>
      </c>
      <c r="M64" s="11">
        <v>179</v>
      </c>
      <c r="N64" s="11">
        <v>2610</v>
      </c>
      <c r="O64" s="11">
        <v>3833</v>
      </c>
      <c r="P64" s="11">
        <v>155</v>
      </c>
      <c r="Q64" s="11">
        <v>428</v>
      </c>
      <c r="R64" s="11">
        <v>889</v>
      </c>
      <c r="S64" s="11">
        <v>717</v>
      </c>
      <c r="T64" s="40"/>
      <c r="U64" s="11">
        <v>679</v>
      </c>
      <c r="V64" s="11">
        <v>3789</v>
      </c>
      <c r="W64" s="11">
        <v>5409</v>
      </c>
      <c r="X64" s="11">
        <v>9152</v>
      </c>
      <c r="Y64" s="11">
        <v>6947</v>
      </c>
      <c r="Z64" s="11">
        <v>0</v>
      </c>
      <c r="AA64" s="11"/>
      <c r="AB64" s="11"/>
      <c r="AC64" s="11">
        <v>0</v>
      </c>
      <c r="AD64" s="11"/>
      <c r="AE64" s="11">
        <v>619</v>
      </c>
      <c r="AF64" s="11">
        <v>216</v>
      </c>
      <c r="AG64" s="11"/>
      <c r="AH64" s="30">
        <v>0</v>
      </c>
      <c r="AI64" s="40"/>
      <c r="AJ64" s="42"/>
      <c r="AK64" s="10">
        <v>0</v>
      </c>
      <c r="AL64" s="7"/>
      <c r="AM64" s="17">
        <v>1647.6206896551723</v>
      </c>
      <c r="AN64" s="7"/>
      <c r="AO64" s="7"/>
      <c r="AP64" s="7"/>
      <c r="AQ64" s="7"/>
      <c r="AR64" s="7"/>
      <c r="AS64" s="7"/>
    </row>
    <row r="65" spans="1:45">
      <c r="A65" s="14">
        <v>44531</v>
      </c>
      <c r="B65" s="11">
        <v>1293</v>
      </c>
      <c r="C65" s="11">
        <v>997</v>
      </c>
      <c r="D65" s="11">
        <v>1443</v>
      </c>
      <c r="E65" s="11">
        <v>642</v>
      </c>
      <c r="F65" s="11">
        <v>1550</v>
      </c>
      <c r="G65" s="11">
        <v>1213</v>
      </c>
      <c r="H65" s="30">
        <v>0</v>
      </c>
      <c r="I65" s="11">
        <v>633</v>
      </c>
      <c r="J65" s="11">
        <v>721</v>
      </c>
      <c r="K65" s="11">
        <v>489</v>
      </c>
      <c r="L65" s="11">
        <v>970</v>
      </c>
      <c r="M65" s="11">
        <v>116</v>
      </c>
      <c r="N65" s="11">
        <v>2276</v>
      </c>
      <c r="O65" s="11">
        <v>3004</v>
      </c>
      <c r="P65" s="11">
        <v>104</v>
      </c>
      <c r="Q65" s="11">
        <v>377</v>
      </c>
      <c r="R65" s="11">
        <v>814</v>
      </c>
      <c r="S65" s="11">
        <v>604</v>
      </c>
      <c r="T65" s="40"/>
      <c r="U65" s="11">
        <v>523</v>
      </c>
      <c r="V65" s="11">
        <v>3114</v>
      </c>
      <c r="W65" s="11">
        <v>4282</v>
      </c>
      <c r="X65" s="11">
        <v>7607</v>
      </c>
      <c r="Y65" s="11">
        <v>5933</v>
      </c>
      <c r="Z65" s="11">
        <v>0</v>
      </c>
      <c r="AA65" s="11"/>
      <c r="AB65" s="11"/>
      <c r="AC65" s="11">
        <v>0</v>
      </c>
      <c r="AD65" s="11"/>
      <c r="AE65" s="11">
        <v>589</v>
      </c>
      <c r="AF65" s="11">
        <v>163</v>
      </c>
      <c r="AG65" s="11"/>
      <c r="AH65" s="30">
        <v>0</v>
      </c>
      <c r="AI65" s="40"/>
      <c r="AJ65" s="42"/>
      <c r="AK65" s="10">
        <v>0</v>
      </c>
      <c r="AL65" s="7"/>
      <c r="AM65" s="17">
        <v>1360.5862068965516</v>
      </c>
      <c r="AN65" s="7"/>
      <c r="AO65" s="7"/>
      <c r="AP65" s="7"/>
      <c r="AQ65" s="7"/>
      <c r="AR65" s="7"/>
      <c r="AS65" s="7"/>
    </row>
    <row r="66" spans="1:45">
      <c r="A66" s="14">
        <v>44562</v>
      </c>
      <c r="B66" s="11">
        <v>1658</v>
      </c>
      <c r="C66" s="11">
        <v>1115</v>
      </c>
      <c r="D66" s="11">
        <v>1542</v>
      </c>
      <c r="E66" s="11">
        <v>704</v>
      </c>
      <c r="F66" s="11">
        <v>1949</v>
      </c>
      <c r="G66" s="11">
        <v>1722</v>
      </c>
      <c r="H66" s="30">
        <v>0</v>
      </c>
      <c r="I66" s="11">
        <v>739</v>
      </c>
      <c r="J66" s="11">
        <v>870</v>
      </c>
      <c r="K66" s="11">
        <v>518</v>
      </c>
      <c r="L66" s="11">
        <v>1076</v>
      </c>
      <c r="M66" s="11">
        <v>71</v>
      </c>
      <c r="N66" s="11">
        <v>2975</v>
      </c>
      <c r="O66" s="11">
        <v>4717</v>
      </c>
      <c r="P66" s="11">
        <v>109</v>
      </c>
      <c r="Q66" s="11">
        <v>516</v>
      </c>
      <c r="R66" s="11">
        <v>737</v>
      </c>
      <c r="S66" s="11">
        <v>578</v>
      </c>
      <c r="T66" s="40"/>
      <c r="U66" s="11">
        <v>517</v>
      </c>
      <c r="V66" s="11">
        <v>3814</v>
      </c>
      <c r="W66" s="11">
        <v>5417</v>
      </c>
      <c r="X66" s="11">
        <v>9470</v>
      </c>
      <c r="Y66" s="11">
        <v>7573</v>
      </c>
      <c r="Z66" s="11">
        <v>0</v>
      </c>
      <c r="AA66" s="11"/>
      <c r="AB66" s="11"/>
      <c r="AC66" s="11">
        <v>0</v>
      </c>
      <c r="AD66" s="11"/>
      <c r="AE66" s="11">
        <v>472</v>
      </c>
      <c r="AF66" s="11">
        <v>181</v>
      </c>
      <c r="AG66" s="11"/>
      <c r="AH66" s="30">
        <v>0</v>
      </c>
      <c r="AI66" s="40"/>
      <c r="AJ66" s="42"/>
      <c r="AK66" s="10">
        <v>0</v>
      </c>
      <c r="AL66" s="7"/>
      <c r="AM66" s="17">
        <v>1691.0344827586207</v>
      </c>
      <c r="AN66" s="7"/>
      <c r="AO66" s="7"/>
      <c r="AP66" s="7"/>
      <c r="AQ66" s="7"/>
      <c r="AR66" s="7"/>
      <c r="AS66" s="7"/>
    </row>
    <row r="67" spans="1:45">
      <c r="A67" s="14">
        <v>44593</v>
      </c>
      <c r="B67" s="11">
        <v>1643</v>
      </c>
      <c r="C67" s="11">
        <v>1062</v>
      </c>
      <c r="D67" s="11">
        <v>1763</v>
      </c>
      <c r="E67" s="11">
        <v>695</v>
      </c>
      <c r="F67" s="11">
        <v>1989</v>
      </c>
      <c r="G67" s="11">
        <v>1605</v>
      </c>
      <c r="H67" s="30">
        <v>0</v>
      </c>
      <c r="I67" s="11">
        <v>685</v>
      </c>
      <c r="J67" s="11">
        <v>885</v>
      </c>
      <c r="K67" s="11">
        <v>556</v>
      </c>
      <c r="L67" s="11">
        <v>1152</v>
      </c>
      <c r="M67" s="11">
        <v>132</v>
      </c>
      <c r="N67" s="11">
        <v>2593</v>
      </c>
      <c r="O67" s="11">
        <v>4538</v>
      </c>
      <c r="P67" s="11">
        <v>184</v>
      </c>
      <c r="Q67" s="11">
        <v>430</v>
      </c>
      <c r="R67" s="11">
        <v>846</v>
      </c>
      <c r="S67" s="11">
        <v>609</v>
      </c>
      <c r="T67" s="40"/>
      <c r="U67" s="11">
        <v>665</v>
      </c>
      <c r="V67" s="11">
        <v>3635</v>
      </c>
      <c r="W67" s="11">
        <v>5163</v>
      </c>
      <c r="X67" s="11">
        <v>8930</v>
      </c>
      <c r="Y67" s="11">
        <v>7310</v>
      </c>
      <c r="Z67" s="11">
        <v>0</v>
      </c>
      <c r="AA67" s="11"/>
      <c r="AB67" s="11"/>
      <c r="AC67" s="11">
        <v>0</v>
      </c>
      <c r="AD67" s="11"/>
      <c r="AE67" s="11">
        <v>604</v>
      </c>
      <c r="AF67" s="11">
        <v>222</v>
      </c>
      <c r="AG67" s="11"/>
      <c r="AH67" s="30">
        <v>0</v>
      </c>
      <c r="AI67" s="40"/>
      <c r="AJ67" s="42"/>
      <c r="AK67" s="10">
        <v>0</v>
      </c>
      <c r="AL67" s="7"/>
      <c r="AM67" s="17">
        <v>1651.5862068965516</v>
      </c>
      <c r="AN67" s="7"/>
      <c r="AO67" s="7"/>
      <c r="AP67" s="7"/>
      <c r="AQ67" s="7"/>
      <c r="AR67" s="7"/>
      <c r="AS67" s="7"/>
    </row>
    <row r="68" spans="1:45">
      <c r="A68" s="14">
        <v>44621</v>
      </c>
      <c r="B68" s="11">
        <v>1595</v>
      </c>
      <c r="C68" s="11">
        <v>1111</v>
      </c>
      <c r="D68" s="11">
        <v>1909</v>
      </c>
      <c r="E68" s="11">
        <v>717</v>
      </c>
      <c r="F68" s="11">
        <v>2101</v>
      </c>
      <c r="G68" s="11">
        <v>1676</v>
      </c>
      <c r="H68" s="30">
        <v>0</v>
      </c>
      <c r="I68" s="11">
        <v>747</v>
      </c>
      <c r="J68" s="11">
        <v>818</v>
      </c>
      <c r="K68" s="11">
        <v>677</v>
      </c>
      <c r="L68" s="11">
        <v>1159</v>
      </c>
      <c r="M68" s="11">
        <v>144</v>
      </c>
      <c r="N68" s="11">
        <v>2787</v>
      </c>
      <c r="O68" s="11">
        <v>4162</v>
      </c>
      <c r="P68" s="11">
        <v>153</v>
      </c>
      <c r="Q68" s="11">
        <v>457</v>
      </c>
      <c r="R68" s="11">
        <v>854</v>
      </c>
      <c r="S68" s="11">
        <v>773</v>
      </c>
      <c r="T68" s="40"/>
      <c r="U68" s="11">
        <v>665</v>
      </c>
      <c r="V68" s="11">
        <v>3693</v>
      </c>
      <c r="W68" s="11">
        <v>5434</v>
      </c>
      <c r="X68" s="11">
        <v>9630</v>
      </c>
      <c r="Y68" s="11">
        <v>7390</v>
      </c>
      <c r="Z68" s="11">
        <v>0</v>
      </c>
      <c r="AA68" s="11"/>
      <c r="AB68" s="11"/>
      <c r="AC68" s="11">
        <v>0</v>
      </c>
      <c r="AD68" s="11"/>
      <c r="AE68" s="11">
        <v>534</v>
      </c>
      <c r="AF68" s="11">
        <v>239</v>
      </c>
      <c r="AG68" s="11"/>
      <c r="AH68" s="30">
        <v>0</v>
      </c>
      <c r="AI68" s="40"/>
      <c r="AJ68" s="42"/>
      <c r="AK68" s="10">
        <v>0</v>
      </c>
      <c r="AL68" s="7"/>
      <c r="AM68" s="17">
        <v>1704.3103448275863</v>
      </c>
      <c r="AN68" s="7"/>
      <c r="AO68" s="7"/>
      <c r="AP68" s="7"/>
      <c r="AQ68" s="7"/>
      <c r="AR68" s="7"/>
      <c r="AS68" s="7"/>
    </row>
    <row r="69" spans="1:45">
      <c r="A69" s="14">
        <v>44652</v>
      </c>
      <c r="B69" s="11">
        <v>4469</v>
      </c>
      <c r="C69" s="11">
        <v>1419</v>
      </c>
      <c r="D69" s="11">
        <v>486</v>
      </c>
      <c r="E69" s="11">
        <v>1167</v>
      </c>
      <c r="F69" s="11">
        <v>3059</v>
      </c>
      <c r="G69" s="11">
        <v>2285</v>
      </c>
      <c r="H69" s="30">
        <v>0</v>
      </c>
      <c r="I69" s="11">
        <v>902</v>
      </c>
      <c r="J69" s="11">
        <v>1201</v>
      </c>
      <c r="K69" s="11">
        <v>932</v>
      </c>
      <c r="L69" s="11">
        <v>1481</v>
      </c>
      <c r="M69" s="11">
        <v>25</v>
      </c>
      <c r="N69" s="11">
        <v>3892</v>
      </c>
      <c r="O69" s="11">
        <v>5632</v>
      </c>
      <c r="P69" s="11">
        <v>34</v>
      </c>
      <c r="Q69" s="11">
        <v>559</v>
      </c>
      <c r="R69" s="11">
        <v>1274</v>
      </c>
      <c r="S69" s="11">
        <v>1100</v>
      </c>
      <c r="T69" s="40"/>
      <c r="U69" s="11">
        <v>834</v>
      </c>
      <c r="V69" s="11">
        <v>5184</v>
      </c>
      <c r="W69" s="11">
        <v>8011</v>
      </c>
      <c r="X69" s="11">
        <v>13688</v>
      </c>
      <c r="Y69" s="11">
        <v>10729</v>
      </c>
      <c r="Z69" s="11">
        <v>0</v>
      </c>
      <c r="AA69" s="11"/>
      <c r="AB69" s="11"/>
      <c r="AC69" s="11">
        <v>0</v>
      </c>
      <c r="AD69" s="11">
        <v>132</v>
      </c>
      <c r="AE69" s="11">
        <v>784</v>
      </c>
      <c r="AF69" s="11">
        <v>421</v>
      </c>
      <c r="AG69" s="11">
        <v>189</v>
      </c>
      <c r="AH69" s="30">
        <v>0</v>
      </c>
      <c r="AI69" s="40"/>
      <c r="AJ69" s="42"/>
      <c r="AK69" s="10">
        <v>0</v>
      </c>
      <c r="AL69" s="7"/>
      <c r="AM69" s="17">
        <v>2254.483870967742</v>
      </c>
      <c r="AN69" s="7"/>
      <c r="AO69" s="7"/>
      <c r="AP69" s="7"/>
      <c r="AQ69" s="7"/>
      <c r="AR69" s="7"/>
      <c r="AS69" s="7"/>
    </row>
    <row r="70" spans="1:45">
      <c r="A70" s="14">
        <v>44682</v>
      </c>
      <c r="B70" s="11">
        <v>1302</v>
      </c>
      <c r="C70" s="30">
        <v>0</v>
      </c>
      <c r="D70" s="11">
        <v>960</v>
      </c>
      <c r="E70" s="11">
        <v>2315</v>
      </c>
      <c r="F70" s="11">
        <v>1902</v>
      </c>
      <c r="G70" s="30">
        <v>0</v>
      </c>
      <c r="H70" s="11">
        <v>623</v>
      </c>
      <c r="I70" s="11">
        <v>1044</v>
      </c>
      <c r="J70" s="11">
        <v>856</v>
      </c>
      <c r="K70" s="11">
        <v>1289</v>
      </c>
      <c r="L70" s="30">
        <v>0</v>
      </c>
      <c r="M70" s="11">
        <v>2966</v>
      </c>
      <c r="N70" s="11">
        <v>4458</v>
      </c>
      <c r="O70" s="30">
        <v>0</v>
      </c>
      <c r="P70" s="11">
        <v>522</v>
      </c>
      <c r="Q70" s="11">
        <v>1100</v>
      </c>
      <c r="R70" s="11">
        <v>878</v>
      </c>
      <c r="S70" s="11">
        <v>722</v>
      </c>
      <c r="T70" s="40"/>
      <c r="U70" s="11">
        <v>4357</v>
      </c>
      <c r="V70" s="11">
        <v>7409</v>
      </c>
      <c r="W70" s="11">
        <v>12022</v>
      </c>
      <c r="X70" s="11">
        <v>8275</v>
      </c>
      <c r="Y70" s="30">
        <v>0</v>
      </c>
      <c r="Z70" s="11"/>
      <c r="AA70" s="11"/>
      <c r="AB70" s="11">
        <v>0</v>
      </c>
      <c r="AC70" s="51">
        <v>113</v>
      </c>
      <c r="AD70" s="11">
        <v>632</v>
      </c>
      <c r="AE70" s="11">
        <v>372</v>
      </c>
      <c r="AF70" s="11">
        <v>212</v>
      </c>
      <c r="AG70" s="30">
        <v>0</v>
      </c>
      <c r="AH70" s="40"/>
      <c r="AI70" s="40"/>
      <c r="AJ70" s="42">
        <v>0</v>
      </c>
      <c r="AK70" s="10"/>
      <c r="AL70" s="7"/>
      <c r="AM70" s="17">
        <v>1810.9666666666667</v>
      </c>
      <c r="AN70" s="7"/>
      <c r="AO70" s="7"/>
      <c r="AP70" s="7"/>
      <c r="AQ70" s="7"/>
      <c r="AR70" s="7">
        <v>0</v>
      </c>
    </row>
    <row r="71" spans="1:45">
      <c r="A71" s="14">
        <v>44713</v>
      </c>
      <c r="B71" s="11">
        <v>4519</v>
      </c>
      <c r="C71" s="11">
        <v>1539</v>
      </c>
      <c r="D71" s="11">
        <v>0</v>
      </c>
      <c r="E71" s="11">
        <v>1040</v>
      </c>
      <c r="F71" s="11">
        <v>2624</v>
      </c>
      <c r="G71" s="11">
        <v>2084</v>
      </c>
      <c r="H71" s="30">
        <v>0</v>
      </c>
      <c r="I71" s="11">
        <v>570</v>
      </c>
      <c r="J71" s="11">
        <v>1118</v>
      </c>
      <c r="K71" s="11">
        <v>1010</v>
      </c>
      <c r="L71" s="11">
        <v>1444</v>
      </c>
      <c r="M71" s="11">
        <v>0</v>
      </c>
      <c r="N71" s="11">
        <v>2959</v>
      </c>
      <c r="O71" s="11">
        <v>4355</v>
      </c>
      <c r="P71" s="11">
        <v>0</v>
      </c>
      <c r="Q71" s="11">
        <v>649</v>
      </c>
      <c r="R71" s="11">
        <v>1265</v>
      </c>
      <c r="S71" s="11">
        <v>1320</v>
      </c>
      <c r="T71" s="40"/>
      <c r="U71" s="11">
        <v>809</v>
      </c>
      <c r="V71" s="11">
        <v>4347</v>
      </c>
      <c r="W71" s="11">
        <v>7816</v>
      </c>
      <c r="X71" s="11">
        <v>13079</v>
      </c>
      <c r="Y71" s="11">
        <v>8546</v>
      </c>
      <c r="Z71" s="11">
        <v>0</v>
      </c>
      <c r="AA71" s="11"/>
      <c r="AB71" s="11"/>
      <c r="AC71" s="11">
        <v>0</v>
      </c>
      <c r="AD71" s="11">
        <v>150</v>
      </c>
      <c r="AE71" s="11">
        <v>702</v>
      </c>
      <c r="AF71" s="11">
        <v>430</v>
      </c>
      <c r="AG71" s="11">
        <v>232</v>
      </c>
      <c r="AH71" s="30">
        <v>0</v>
      </c>
      <c r="AI71" s="40"/>
      <c r="AJ71" s="42"/>
      <c r="AK71" s="10">
        <v>0</v>
      </c>
      <c r="AL71" s="7"/>
      <c r="AM71" s="17">
        <v>2019.5806451612902</v>
      </c>
      <c r="AN71" s="7"/>
      <c r="AO71" s="7"/>
      <c r="AP71" s="7"/>
      <c r="AQ71" s="7"/>
      <c r="AR71" s="7"/>
      <c r="AS71" s="7"/>
    </row>
    <row r="72" spans="1:45">
      <c r="A72" s="14">
        <v>44743</v>
      </c>
      <c r="B72" s="11">
        <v>5393</v>
      </c>
      <c r="C72" s="11">
        <v>1764</v>
      </c>
      <c r="D72" s="11">
        <v>0</v>
      </c>
      <c r="E72" s="11">
        <v>1318</v>
      </c>
      <c r="F72" s="11">
        <v>3293</v>
      </c>
      <c r="G72" s="11">
        <v>2689</v>
      </c>
      <c r="H72" s="30">
        <v>0</v>
      </c>
      <c r="I72" s="11">
        <v>845</v>
      </c>
      <c r="J72" s="11">
        <v>1417</v>
      </c>
      <c r="K72" s="11">
        <v>1131</v>
      </c>
      <c r="L72" s="11">
        <v>1715</v>
      </c>
      <c r="M72" s="11">
        <v>0</v>
      </c>
      <c r="N72" s="11">
        <v>3877</v>
      </c>
      <c r="O72" s="11">
        <v>5994</v>
      </c>
      <c r="P72" s="11">
        <v>0</v>
      </c>
      <c r="Q72" s="11">
        <v>589</v>
      </c>
      <c r="R72" s="11">
        <v>1540</v>
      </c>
      <c r="S72" s="11">
        <v>1491</v>
      </c>
      <c r="T72" s="40"/>
      <c r="U72" s="11">
        <v>1048</v>
      </c>
      <c r="V72" s="11">
        <v>5691</v>
      </c>
      <c r="W72" s="11">
        <v>9416</v>
      </c>
      <c r="X72" s="11">
        <v>15786</v>
      </c>
      <c r="Y72" s="11">
        <v>10654</v>
      </c>
      <c r="Z72" s="11">
        <v>0</v>
      </c>
      <c r="AA72" s="11"/>
      <c r="AB72" s="11"/>
      <c r="AC72" s="11">
        <v>0</v>
      </c>
      <c r="AD72" s="11">
        <v>157</v>
      </c>
      <c r="AE72" s="11">
        <v>864</v>
      </c>
      <c r="AF72" s="11">
        <v>469</v>
      </c>
      <c r="AG72" s="11">
        <v>278</v>
      </c>
      <c r="AH72" s="30">
        <v>0</v>
      </c>
      <c r="AI72" s="40"/>
      <c r="AJ72" s="42"/>
      <c r="AK72" s="10">
        <v>0</v>
      </c>
      <c r="AL72" s="7"/>
      <c r="AM72" s="17">
        <v>2497.3870967741937</v>
      </c>
      <c r="AN72" s="7"/>
      <c r="AO72" s="7"/>
      <c r="AP72" s="7"/>
      <c r="AQ72" s="7"/>
      <c r="AR72" s="7"/>
      <c r="AS72" s="7"/>
    </row>
    <row r="73" spans="1:45">
      <c r="A73" s="14">
        <v>44774</v>
      </c>
      <c r="B73" s="11">
        <v>4563</v>
      </c>
      <c r="C73" s="11">
        <v>1512</v>
      </c>
      <c r="D73" s="11">
        <v>0</v>
      </c>
      <c r="E73" s="11">
        <v>1171</v>
      </c>
      <c r="F73" s="11">
        <v>2795</v>
      </c>
      <c r="G73" s="11">
        <v>2250</v>
      </c>
      <c r="H73" s="30">
        <v>0</v>
      </c>
      <c r="I73" s="11">
        <v>682</v>
      </c>
      <c r="J73" s="11">
        <v>1275</v>
      </c>
      <c r="K73" s="11">
        <v>1043</v>
      </c>
      <c r="L73" s="11">
        <v>1357</v>
      </c>
      <c r="M73" s="11">
        <v>0</v>
      </c>
      <c r="N73" s="11">
        <v>3172</v>
      </c>
      <c r="O73" s="11">
        <v>4985</v>
      </c>
      <c r="P73" s="11">
        <v>0</v>
      </c>
      <c r="Q73" s="11">
        <v>569</v>
      </c>
      <c r="R73" s="11">
        <v>1244</v>
      </c>
      <c r="S73" s="11">
        <v>1151</v>
      </c>
      <c r="T73" s="40"/>
      <c r="U73" s="11">
        <v>743</v>
      </c>
      <c r="V73" s="11">
        <v>4730</v>
      </c>
      <c r="W73" s="11">
        <v>7324</v>
      </c>
      <c r="X73" s="11">
        <v>13033</v>
      </c>
      <c r="Y73" s="11">
        <v>8951</v>
      </c>
      <c r="Z73" s="11">
        <v>0</v>
      </c>
      <c r="AA73" s="11"/>
      <c r="AB73" s="11"/>
      <c r="AC73" s="11">
        <v>0</v>
      </c>
      <c r="AD73" s="11">
        <v>115</v>
      </c>
      <c r="AE73" s="11">
        <v>751</v>
      </c>
      <c r="AF73" s="11">
        <v>463</v>
      </c>
      <c r="AG73" s="11">
        <v>258</v>
      </c>
      <c r="AH73" s="30">
        <v>0</v>
      </c>
      <c r="AI73" s="40"/>
      <c r="AJ73" s="42"/>
      <c r="AK73" s="10">
        <v>0</v>
      </c>
      <c r="AL73" s="7"/>
      <c r="AM73" s="17">
        <v>2068.9354838709678</v>
      </c>
      <c r="AN73" s="7"/>
      <c r="AO73" s="7"/>
      <c r="AP73" s="7"/>
      <c r="AQ73" s="7"/>
      <c r="AR73" s="7"/>
      <c r="AS73" s="7"/>
    </row>
    <row r="74" spans="1:45">
      <c r="A74" s="14">
        <v>44805</v>
      </c>
      <c r="B74" s="11">
        <v>4589</v>
      </c>
      <c r="C74" s="11">
        <v>1553</v>
      </c>
      <c r="D74" s="11">
        <v>0</v>
      </c>
      <c r="E74" s="11">
        <v>1272</v>
      </c>
      <c r="F74" s="11">
        <v>3235</v>
      </c>
      <c r="G74" s="11">
        <v>2389</v>
      </c>
      <c r="H74" s="30">
        <v>0</v>
      </c>
      <c r="I74" s="11">
        <v>672</v>
      </c>
      <c r="J74" s="11">
        <v>1338</v>
      </c>
      <c r="K74" s="11">
        <v>918</v>
      </c>
      <c r="L74" s="11">
        <v>1496</v>
      </c>
      <c r="M74" s="11">
        <v>0</v>
      </c>
      <c r="N74" s="11">
        <v>2987</v>
      </c>
      <c r="O74" s="11">
        <v>4840</v>
      </c>
      <c r="P74" s="11">
        <v>0</v>
      </c>
      <c r="Q74" s="11">
        <v>453</v>
      </c>
      <c r="R74" s="11">
        <v>1364</v>
      </c>
      <c r="S74" s="11">
        <v>1186</v>
      </c>
      <c r="T74" s="40"/>
      <c r="U74" s="11">
        <v>839</v>
      </c>
      <c r="V74" s="11">
        <v>4842</v>
      </c>
      <c r="W74" s="11">
        <v>7671</v>
      </c>
      <c r="X74" s="11">
        <v>12806</v>
      </c>
      <c r="Y74" s="11">
        <v>8875</v>
      </c>
      <c r="Z74" s="11">
        <v>0</v>
      </c>
      <c r="AA74" s="11"/>
      <c r="AB74" s="11"/>
      <c r="AC74" s="11">
        <v>0</v>
      </c>
      <c r="AD74" s="11">
        <v>170</v>
      </c>
      <c r="AE74" s="11">
        <v>629</v>
      </c>
      <c r="AF74" s="11">
        <v>545</v>
      </c>
      <c r="AG74" s="11">
        <v>257</v>
      </c>
      <c r="AH74" s="30">
        <v>0</v>
      </c>
      <c r="AI74" s="40"/>
      <c r="AJ74" s="42"/>
      <c r="AK74" s="10">
        <v>0</v>
      </c>
      <c r="AL74" s="7"/>
      <c r="AM74" s="17">
        <v>2094.3870967741937</v>
      </c>
      <c r="AN74" s="7"/>
      <c r="AO74" s="7"/>
      <c r="AP74" s="7"/>
      <c r="AQ74" s="7"/>
      <c r="AR74" s="7"/>
      <c r="AS74" s="7"/>
    </row>
    <row r="75" spans="1:45">
      <c r="A75" s="14">
        <v>44835</v>
      </c>
      <c r="B75" s="11">
        <v>6638</v>
      </c>
      <c r="C75" s="11">
        <v>1977</v>
      </c>
      <c r="D75" s="11">
        <v>0</v>
      </c>
      <c r="E75" s="11">
        <v>1491</v>
      </c>
      <c r="F75" s="11">
        <v>4040</v>
      </c>
      <c r="G75" s="11">
        <v>2856</v>
      </c>
      <c r="H75" s="11">
        <v>63</v>
      </c>
      <c r="I75" s="11">
        <v>1052</v>
      </c>
      <c r="J75" s="11">
        <v>1610</v>
      </c>
      <c r="K75" s="11">
        <v>1190</v>
      </c>
      <c r="L75" s="11">
        <v>1768</v>
      </c>
      <c r="M75" s="11">
        <v>0</v>
      </c>
      <c r="N75" s="11">
        <v>4480</v>
      </c>
      <c r="O75" s="11">
        <v>6716</v>
      </c>
      <c r="P75" s="11">
        <v>0</v>
      </c>
      <c r="Q75" s="11">
        <v>652</v>
      </c>
      <c r="R75" s="11">
        <v>1636</v>
      </c>
      <c r="S75" s="11">
        <v>1318</v>
      </c>
      <c r="T75" s="40"/>
      <c r="U75" s="11">
        <v>1127</v>
      </c>
      <c r="V75" s="11">
        <v>6345</v>
      </c>
      <c r="W75" s="11">
        <v>9423</v>
      </c>
      <c r="X75" s="11">
        <v>16636</v>
      </c>
      <c r="Y75" s="11">
        <v>11751</v>
      </c>
      <c r="Z75" s="11">
        <v>0</v>
      </c>
      <c r="AA75" s="11"/>
      <c r="AB75" s="11"/>
      <c r="AC75" s="11">
        <v>0</v>
      </c>
      <c r="AD75" s="11">
        <v>224</v>
      </c>
      <c r="AE75" s="11">
        <v>953</v>
      </c>
      <c r="AF75" s="11">
        <v>602</v>
      </c>
      <c r="AG75" s="11">
        <v>357</v>
      </c>
      <c r="AH75" s="30">
        <v>0</v>
      </c>
      <c r="AI75" s="40"/>
      <c r="AJ75" s="42"/>
      <c r="AK75" s="10">
        <v>0</v>
      </c>
      <c r="AL75" s="7"/>
      <c r="AM75" s="17">
        <v>2738.8709677419356</v>
      </c>
      <c r="AN75" s="7"/>
      <c r="AO75" s="7"/>
      <c r="AP75" s="7"/>
      <c r="AQ75" s="7"/>
      <c r="AR75" s="7"/>
      <c r="AS75" s="7"/>
    </row>
    <row r="76" spans="1:45">
      <c r="A76" s="14">
        <v>44866</v>
      </c>
      <c r="B76" s="11">
        <v>4632</v>
      </c>
      <c r="C76" s="11">
        <v>1302</v>
      </c>
      <c r="D76" s="11">
        <v>0</v>
      </c>
      <c r="E76" s="11">
        <v>1045</v>
      </c>
      <c r="F76" s="11">
        <v>2598</v>
      </c>
      <c r="G76" s="11">
        <v>2167</v>
      </c>
      <c r="H76" s="30">
        <v>0</v>
      </c>
      <c r="I76" s="11">
        <v>731</v>
      </c>
      <c r="J76" s="11">
        <v>1055</v>
      </c>
      <c r="K76" s="11">
        <v>788</v>
      </c>
      <c r="L76" s="11">
        <v>1220</v>
      </c>
      <c r="M76" s="11">
        <v>0</v>
      </c>
      <c r="N76" s="11">
        <v>2719</v>
      </c>
      <c r="O76" s="11">
        <v>4863</v>
      </c>
      <c r="P76" s="11">
        <v>0</v>
      </c>
      <c r="Q76" s="11">
        <v>501</v>
      </c>
      <c r="R76" s="11">
        <v>1095</v>
      </c>
      <c r="S76" s="11">
        <v>1039</v>
      </c>
      <c r="T76" s="40"/>
      <c r="U76" s="11">
        <v>824</v>
      </c>
      <c r="V76" s="11">
        <v>4410</v>
      </c>
      <c r="W76" s="11">
        <v>6620</v>
      </c>
      <c r="X76" s="11">
        <v>11342</v>
      </c>
      <c r="Y76" s="11">
        <v>8477</v>
      </c>
      <c r="Z76" s="11">
        <v>0</v>
      </c>
      <c r="AA76" s="11"/>
      <c r="AB76" s="11"/>
      <c r="AC76" s="11">
        <v>0</v>
      </c>
      <c r="AD76" s="11">
        <v>135</v>
      </c>
      <c r="AE76" s="11">
        <v>583</v>
      </c>
      <c r="AF76" s="11">
        <v>348</v>
      </c>
      <c r="AG76" s="11">
        <v>169</v>
      </c>
      <c r="AH76" s="30">
        <v>0</v>
      </c>
      <c r="AI76" s="40"/>
      <c r="AJ76" s="42"/>
      <c r="AK76" s="10">
        <v>0</v>
      </c>
      <c r="AL76" s="7"/>
      <c r="AM76" s="17">
        <v>1892.3548387096773</v>
      </c>
      <c r="AN76" s="7"/>
      <c r="AO76" s="7"/>
      <c r="AP76" s="7"/>
      <c r="AQ76" s="7"/>
      <c r="AR76" s="7"/>
      <c r="AS76" s="7"/>
    </row>
    <row r="77" spans="1:45">
      <c r="A77" s="14">
        <v>44896</v>
      </c>
      <c r="B77" s="11">
        <v>4877</v>
      </c>
      <c r="C77" s="11">
        <v>1577</v>
      </c>
      <c r="D77" s="11">
        <v>0</v>
      </c>
      <c r="E77" s="11">
        <v>1253</v>
      </c>
      <c r="F77" s="11">
        <v>3076</v>
      </c>
      <c r="G77" s="11">
        <v>2592</v>
      </c>
      <c r="H77" s="30">
        <v>0</v>
      </c>
      <c r="I77" s="11">
        <v>756</v>
      </c>
      <c r="J77" s="11">
        <v>1168</v>
      </c>
      <c r="K77" s="11">
        <v>924</v>
      </c>
      <c r="L77" s="11">
        <v>1444</v>
      </c>
      <c r="M77" s="11">
        <v>0</v>
      </c>
      <c r="N77" s="11">
        <v>3338</v>
      </c>
      <c r="O77" s="11">
        <v>6051</v>
      </c>
      <c r="P77" s="11">
        <v>0</v>
      </c>
      <c r="Q77" s="11">
        <v>558</v>
      </c>
      <c r="R77" s="11">
        <v>1180</v>
      </c>
      <c r="S77" s="11">
        <v>1174</v>
      </c>
      <c r="T77" s="40"/>
      <c r="U77" s="11">
        <v>875</v>
      </c>
      <c r="V77" s="11">
        <v>4957</v>
      </c>
      <c r="W77" s="11">
        <v>7666</v>
      </c>
      <c r="X77" s="11">
        <v>12724</v>
      </c>
      <c r="Y77" s="11">
        <v>9638</v>
      </c>
      <c r="Z77" s="11">
        <v>0</v>
      </c>
      <c r="AA77" s="11"/>
      <c r="AB77" s="11"/>
      <c r="AC77" s="11">
        <v>0</v>
      </c>
      <c r="AD77" s="11">
        <v>115</v>
      </c>
      <c r="AE77" s="11">
        <v>708</v>
      </c>
      <c r="AF77" s="11">
        <v>538</v>
      </c>
      <c r="AG77" s="11">
        <v>306</v>
      </c>
      <c r="AH77" s="30">
        <v>0</v>
      </c>
      <c r="AI77" s="40"/>
      <c r="AJ77" s="42"/>
      <c r="AK77" s="10">
        <v>0</v>
      </c>
      <c r="AL77" s="7"/>
      <c r="AM77" s="17">
        <v>2177.2580645161293</v>
      </c>
      <c r="AN77" s="7"/>
      <c r="AO77" s="7"/>
      <c r="AP77" s="7"/>
      <c r="AQ77" s="7"/>
      <c r="AR77" s="7"/>
      <c r="AS77" s="7"/>
    </row>
    <row r="78" spans="1:45">
      <c r="A78" s="15"/>
      <c r="B78" s="12"/>
      <c r="C78" s="12"/>
      <c r="D78" s="12"/>
      <c r="E78" s="12"/>
      <c r="F78" s="11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3"/>
      <c r="AK78" s="3"/>
      <c r="AL78" s="3"/>
      <c r="AM78" s="17"/>
    </row>
    <row r="79" spans="1:45">
      <c r="A79" s="15"/>
      <c r="B79" s="12"/>
      <c r="C79" s="11"/>
      <c r="D79" s="11"/>
      <c r="E79" s="11"/>
      <c r="F79" s="11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3"/>
      <c r="AK79" s="3"/>
      <c r="AL79" s="3"/>
      <c r="AM79" s="17"/>
    </row>
    <row r="80" spans="1:45">
      <c r="A80" s="62" t="s">
        <v>3</v>
      </c>
      <c r="B80" s="62"/>
      <c r="C80" s="62"/>
      <c r="D80" s="62"/>
      <c r="E80" s="62"/>
      <c r="F80" s="11"/>
      <c r="G80" s="1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17"/>
    </row>
    <row r="81" spans="1:39">
      <c r="A81" s="14">
        <v>44197</v>
      </c>
      <c r="B81" s="6">
        <v>1225.68</v>
      </c>
      <c r="C81" s="7">
        <v>964.25</v>
      </c>
      <c r="D81" s="6">
        <v>1286.01</v>
      </c>
      <c r="E81" s="33">
        <v>0</v>
      </c>
      <c r="F81" s="6">
        <v>1246.77</v>
      </c>
      <c r="G81" s="6">
        <v>1083.06</v>
      </c>
      <c r="H81" s="33">
        <v>0</v>
      </c>
      <c r="I81" s="7">
        <v>605.22</v>
      </c>
      <c r="J81" s="7">
        <v>407.55</v>
      </c>
      <c r="K81" s="7">
        <v>466.69</v>
      </c>
      <c r="L81" s="7">
        <v>888.84</v>
      </c>
      <c r="M81" s="33">
        <v>0</v>
      </c>
      <c r="N81" s="6">
        <v>2224.6</v>
      </c>
      <c r="O81" s="6">
        <v>2519.9299999999998</v>
      </c>
      <c r="P81" s="7">
        <v>247.43</v>
      </c>
      <c r="Q81" s="7">
        <v>417.27</v>
      </c>
      <c r="R81" s="7">
        <v>992.14</v>
      </c>
      <c r="S81" s="7">
        <v>491.25</v>
      </c>
      <c r="T81" s="42"/>
      <c r="U81" s="7">
        <v>619.42999999999995</v>
      </c>
      <c r="V81" s="6">
        <v>2572.31</v>
      </c>
      <c r="W81" s="6">
        <v>4405.97</v>
      </c>
      <c r="X81" s="6">
        <v>5372.94</v>
      </c>
      <c r="Y81" s="6">
        <v>5736.89</v>
      </c>
      <c r="Z81" s="7">
        <v>0</v>
      </c>
      <c r="AA81" s="7"/>
      <c r="AB81" s="7">
        <v>0</v>
      </c>
      <c r="AC81" s="33">
        <v>0</v>
      </c>
      <c r="AD81" s="7">
        <v>0</v>
      </c>
      <c r="AE81" s="7">
        <v>393.69</v>
      </c>
      <c r="AF81" s="33">
        <v>0</v>
      </c>
      <c r="AG81" s="7">
        <v>0</v>
      </c>
      <c r="AH81" s="33">
        <v>0</v>
      </c>
      <c r="AI81" s="42"/>
      <c r="AJ81" s="42">
        <v>0</v>
      </c>
      <c r="AK81" s="42">
        <v>0</v>
      </c>
      <c r="AL81" s="7"/>
      <c r="AM81" s="17">
        <v>1035.3915151515153</v>
      </c>
    </row>
    <row r="82" spans="1:39">
      <c r="A82" s="14">
        <v>44228</v>
      </c>
      <c r="B82" s="7">
        <v>933</v>
      </c>
      <c r="C82" s="7">
        <v>613</v>
      </c>
      <c r="D82" s="7">
        <v>640</v>
      </c>
      <c r="E82" s="33">
        <v>0</v>
      </c>
      <c r="F82" s="7">
        <v>885</v>
      </c>
      <c r="G82" s="7">
        <v>710</v>
      </c>
      <c r="H82" s="33">
        <v>0</v>
      </c>
      <c r="I82" s="7">
        <v>299</v>
      </c>
      <c r="J82" s="7">
        <v>316</v>
      </c>
      <c r="K82" s="7">
        <v>251</v>
      </c>
      <c r="L82" s="7">
        <v>457</v>
      </c>
      <c r="M82" s="33">
        <v>0</v>
      </c>
      <c r="N82" s="6">
        <v>1387</v>
      </c>
      <c r="O82" s="6">
        <v>1532</v>
      </c>
      <c r="P82" s="7">
        <v>138</v>
      </c>
      <c r="Q82" s="7">
        <v>238</v>
      </c>
      <c r="R82" s="7">
        <v>566</v>
      </c>
      <c r="S82" s="7">
        <v>225</v>
      </c>
      <c r="T82" s="42"/>
      <c r="U82" s="7">
        <v>288</v>
      </c>
      <c r="V82" s="6">
        <v>1588</v>
      </c>
      <c r="W82" s="6">
        <v>3004</v>
      </c>
      <c r="X82" s="6">
        <v>3792</v>
      </c>
      <c r="Y82" s="6">
        <v>3653</v>
      </c>
      <c r="Z82" s="7">
        <v>0</v>
      </c>
      <c r="AA82" s="7"/>
      <c r="AB82" s="7">
        <v>0</v>
      </c>
      <c r="AC82" s="33">
        <v>0</v>
      </c>
      <c r="AD82" s="7">
        <v>0</v>
      </c>
      <c r="AE82" s="7">
        <v>202</v>
      </c>
      <c r="AF82" s="33">
        <v>0</v>
      </c>
      <c r="AG82" s="7">
        <v>0</v>
      </c>
      <c r="AH82" s="33">
        <v>0</v>
      </c>
      <c r="AI82" s="42"/>
      <c r="AJ82" s="42">
        <v>0</v>
      </c>
      <c r="AK82" s="42">
        <v>0</v>
      </c>
      <c r="AL82" s="7"/>
      <c r="AM82" s="17">
        <v>658.09090909090912</v>
      </c>
    </row>
    <row r="83" spans="1:39">
      <c r="A83" s="14">
        <v>44256</v>
      </c>
      <c r="B83" s="6">
        <v>1010</v>
      </c>
      <c r="C83" s="7">
        <v>735</v>
      </c>
      <c r="D83" s="6">
        <v>1037</v>
      </c>
      <c r="E83" s="33">
        <v>0</v>
      </c>
      <c r="F83" s="6">
        <v>1021</v>
      </c>
      <c r="G83" s="7">
        <v>791</v>
      </c>
      <c r="H83" s="33">
        <v>0</v>
      </c>
      <c r="I83" s="7">
        <v>353</v>
      </c>
      <c r="J83" s="7">
        <v>377</v>
      </c>
      <c r="K83" s="7">
        <v>317</v>
      </c>
      <c r="L83" s="7">
        <v>707</v>
      </c>
      <c r="M83" s="33">
        <v>0</v>
      </c>
      <c r="N83" s="6">
        <v>1508</v>
      </c>
      <c r="O83" s="6">
        <v>1975</v>
      </c>
      <c r="P83" s="7">
        <v>146</v>
      </c>
      <c r="Q83" s="7">
        <v>246</v>
      </c>
      <c r="R83" s="7">
        <v>581</v>
      </c>
      <c r="S83" s="7">
        <v>412</v>
      </c>
      <c r="T83" s="42"/>
      <c r="U83" s="7">
        <v>440</v>
      </c>
      <c r="V83" s="6">
        <v>1829</v>
      </c>
      <c r="W83" s="6">
        <v>3348</v>
      </c>
      <c r="X83" s="6">
        <v>4614</v>
      </c>
      <c r="Y83" s="6">
        <v>4366</v>
      </c>
      <c r="Z83" s="7">
        <v>0</v>
      </c>
      <c r="AA83" s="7"/>
      <c r="AB83" s="7">
        <v>0</v>
      </c>
      <c r="AC83" s="33">
        <v>0</v>
      </c>
      <c r="AD83" s="7">
        <v>0</v>
      </c>
      <c r="AE83" s="7">
        <v>323</v>
      </c>
      <c r="AF83" s="33">
        <v>0</v>
      </c>
      <c r="AG83" s="7">
        <v>0</v>
      </c>
      <c r="AH83" s="33">
        <v>0</v>
      </c>
      <c r="AI83" s="42"/>
      <c r="AJ83" s="42">
        <v>0</v>
      </c>
      <c r="AK83" s="42">
        <v>0</v>
      </c>
      <c r="AL83" s="7"/>
      <c r="AM83" s="17">
        <v>792</v>
      </c>
    </row>
    <row r="84" spans="1:39">
      <c r="A84" s="14">
        <v>44287</v>
      </c>
      <c r="B84" s="6">
        <v>1040</v>
      </c>
      <c r="C84" s="7">
        <v>796</v>
      </c>
      <c r="D84" s="6">
        <v>1037</v>
      </c>
      <c r="E84" s="7">
        <v>284</v>
      </c>
      <c r="F84" s="6">
        <v>1122</v>
      </c>
      <c r="G84" s="7">
        <v>814</v>
      </c>
      <c r="H84" s="33">
        <v>0</v>
      </c>
      <c r="I84" s="7">
        <v>427</v>
      </c>
      <c r="J84" s="7">
        <v>498</v>
      </c>
      <c r="K84" s="7">
        <v>438</v>
      </c>
      <c r="L84" s="7">
        <v>856</v>
      </c>
      <c r="M84" s="33">
        <v>0</v>
      </c>
      <c r="N84" s="6">
        <v>1829</v>
      </c>
      <c r="O84" s="6">
        <v>2121</v>
      </c>
      <c r="P84" s="7">
        <v>38</v>
      </c>
      <c r="Q84" s="7">
        <v>287</v>
      </c>
      <c r="R84" s="7">
        <v>609</v>
      </c>
      <c r="S84" s="7">
        <v>360</v>
      </c>
      <c r="T84" s="42"/>
      <c r="U84" s="7">
        <v>480</v>
      </c>
      <c r="V84" s="6">
        <v>2092</v>
      </c>
      <c r="W84" s="6">
        <v>3715</v>
      </c>
      <c r="X84" s="6">
        <v>5182</v>
      </c>
      <c r="Y84" s="6">
        <v>4188</v>
      </c>
      <c r="Z84" s="7">
        <v>0</v>
      </c>
      <c r="AA84" s="7"/>
      <c r="AB84" s="7">
        <v>0</v>
      </c>
      <c r="AC84" s="33">
        <v>0</v>
      </c>
      <c r="AD84" s="7">
        <v>0</v>
      </c>
      <c r="AE84" s="7">
        <v>214</v>
      </c>
      <c r="AF84" s="33">
        <v>0</v>
      </c>
      <c r="AG84" s="7">
        <v>0</v>
      </c>
      <c r="AH84" s="33">
        <v>0</v>
      </c>
      <c r="AI84" s="42"/>
      <c r="AJ84" s="42">
        <v>0</v>
      </c>
      <c r="AK84" s="42">
        <v>0</v>
      </c>
      <c r="AL84" s="7"/>
      <c r="AM84" s="17">
        <v>861.42424242424238</v>
      </c>
    </row>
    <row r="85" spans="1:39">
      <c r="A85" s="14">
        <v>44317</v>
      </c>
      <c r="B85" s="6">
        <v>1274</v>
      </c>
      <c r="C85" s="7">
        <v>940</v>
      </c>
      <c r="D85" s="6">
        <v>1258</v>
      </c>
      <c r="E85" s="7">
        <v>436</v>
      </c>
      <c r="F85" s="6">
        <v>1542</v>
      </c>
      <c r="G85" s="7">
        <v>925</v>
      </c>
      <c r="H85" s="33">
        <v>0</v>
      </c>
      <c r="I85" s="7">
        <v>564</v>
      </c>
      <c r="J85" s="7">
        <v>560</v>
      </c>
      <c r="K85" s="7">
        <v>538</v>
      </c>
      <c r="L85" s="7">
        <v>884</v>
      </c>
      <c r="M85" s="33">
        <v>0</v>
      </c>
      <c r="N85" s="6">
        <v>2247</v>
      </c>
      <c r="O85" s="6">
        <v>2929</v>
      </c>
      <c r="P85" s="33">
        <v>0</v>
      </c>
      <c r="Q85" s="7">
        <v>355</v>
      </c>
      <c r="R85" s="7">
        <v>730</v>
      </c>
      <c r="S85" s="7">
        <v>490</v>
      </c>
      <c r="T85" s="42"/>
      <c r="U85" s="7">
        <v>489</v>
      </c>
      <c r="V85" s="6">
        <v>2291</v>
      </c>
      <c r="W85" s="6">
        <v>4584</v>
      </c>
      <c r="X85" s="6">
        <v>6439</v>
      </c>
      <c r="Y85" s="6">
        <v>5237</v>
      </c>
      <c r="Z85" s="7">
        <v>0</v>
      </c>
      <c r="AA85" s="7"/>
      <c r="AB85" s="7">
        <v>0</v>
      </c>
      <c r="AC85" s="33">
        <v>0</v>
      </c>
      <c r="AD85" s="7">
        <v>0</v>
      </c>
      <c r="AE85" s="7">
        <v>445</v>
      </c>
      <c r="AF85" s="33">
        <v>0</v>
      </c>
      <c r="AG85" s="7">
        <v>0</v>
      </c>
      <c r="AH85" s="33">
        <v>0</v>
      </c>
      <c r="AI85" s="42"/>
      <c r="AJ85" s="42">
        <v>0</v>
      </c>
      <c r="AK85" s="10">
        <v>0</v>
      </c>
      <c r="AL85" s="7"/>
      <c r="AM85" s="17">
        <v>1065.3636363636363</v>
      </c>
    </row>
    <row r="86" spans="1:39">
      <c r="A86" s="14">
        <v>44348</v>
      </c>
      <c r="B86" s="6">
        <v>1098</v>
      </c>
      <c r="C86" s="7">
        <v>820</v>
      </c>
      <c r="D86" s="6">
        <v>1012</v>
      </c>
      <c r="E86" s="7">
        <v>418</v>
      </c>
      <c r="F86" s="6">
        <v>1524</v>
      </c>
      <c r="G86" s="7">
        <v>855</v>
      </c>
      <c r="H86" s="33">
        <v>0</v>
      </c>
      <c r="I86" s="7">
        <v>418</v>
      </c>
      <c r="J86" s="7">
        <v>558</v>
      </c>
      <c r="K86" s="7">
        <v>438</v>
      </c>
      <c r="L86" s="7">
        <v>762</v>
      </c>
      <c r="M86" s="33">
        <v>0</v>
      </c>
      <c r="N86" s="6">
        <v>1743</v>
      </c>
      <c r="O86" s="6">
        <v>2499</v>
      </c>
      <c r="P86" s="33">
        <v>0</v>
      </c>
      <c r="Q86" s="7">
        <v>325</v>
      </c>
      <c r="R86" s="7">
        <v>525</v>
      </c>
      <c r="S86" s="7">
        <v>506</v>
      </c>
      <c r="T86" s="42"/>
      <c r="U86" s="7">
        <v>486</v>
      </c>
      <c r="V86" s="6">
        <v>2114</v>
      </c>
      <c r="W86" s="6">
        <v>3976</v>
      </c>
      <c r="X86" s="6">
        <v>5723</v>
      </c>
      <c r="Y86" s="6">
        <v>4572</v>
      </c>
      <c r="Z86" s="7">
        <v>0</v>
      </c>
      <c r="AA86" s="7"/>
      <c r="AB86" s="7">
        <v>0</v>
      </c>
      <c r="AC86" s="7">
        <v>0</v>
      </c>
      <c r="AD86" s="7">
        <v>0</v>
      </c>
      <c r="AE86" s="7">
        <v>378</v>
      </c>
      <c r="AF86" s="33">
        <v>0</v>
      </c>
      <c r="AG86" s="7">
        <v>0</v>
      </c>
      <c r="AH86" s="33">
        <v>0</v>
      </c>
      <c r="AI86" s="42"/>
      <c r="AJ86" s="42">
        <v>0</v>
      </c>
      <c r="AK86" s="10">
        <v>0</v>
      </c>
      <c r="AL86" s="7"/>
      <c r="AM86" s="17">
        <v>931.81818181818187</v>
      </c>
    </row>
    <row r="87" spans="1:39">
      <c r="A87" s="14">
        <v>44378</v>
      </c>
      <c r="B87" s="6">
        <v>1085</v>
      </c>
      <c r="C87" s="7">
        <v>810</v>
      </c>
      <c r="D87" s="6">
        <v>1018</v>
      </c>
      <c r="E87" s="7">
        <v>466</v>
      </c>
      <c r="F87" s="6">
        <v>1277</v>
      </c>
      <c r="G87" s="7">
        <v>840</v>
      </c>
      <c r="H87" s="33">
        <v>0</v>
      </c>
      <c r="I87" s="7">
        <v>387</v>
      </c>
      <c r="J87" s="7">
        <v>466</v>
      </c>
      <c r="K87" s="7">
        <v>389</v>
      </c>
      <c r="L87" s="7">
        <v>813</v>
      </c>
      <c r="M87" s="33">
        <v>0</v>
      </c>
      <c r="N87" s="6">
        <v>1673</v>
      </c>
      <c r="O87" s="6">
        <v>2385</v>
      </c>
      <c r="P87" s="33">
        <v>0</v>
      </c>
      <c r="Q87" s="7">
        <v>322</v>
      </c>
      <c r="R87" s="7">
        <v>574</v>
      </c>
      <c r="S87" s="7">
        <v>498</v>
      </c>
      <c r="T87" s="42"/>
      <c r="U87" s="7">
        <v>484</v>
      </c>
      <c r="V87" s="6">
        <v>2004</v>
      </c>
      <c r="W87" s="6">
        <v>3893</v>
      </c>
      <c r="X87" s="6">
        <v>6162</v>
      </c>
      <c r="Y87" s="6">
        <v>4647</v>
      </c>
      <c r="Z87" s="7">
        <v>0</v>
      </c>
      <c r="AA87" s="7"/>
      <c r="AB87" s="7">
        <v>0</v>
      </c>
      <c r="AC87" s="7">
        <v>0</v>
      </c>
      <c r="AD87" s="7">
        <v>0</v>
      </c>
      <c r="AE87" s="7">
        <v>368</v>
      </c>
      <c r="AF87" s="33">
        <v>0</v>
      </c>
      <c r="AG87" s="7">
        <v>0</v>
      </c>
      <c r="AH87" s="33">
        <v>0</v>
      </c>
      <c r="AI87" s="42"/>
      <c r="AJ87" s="42">
        <v>0</v>
      </c>
      <c r="AK87" s="10">
        <v>0</v>
      </c>
      <c r="AL87" s="7"/>
      <c r="AM87" s="17">
        <v>926.09090909090912</v>
      </c>
    </row>
    <row r="88" spans="1:39">
      <c r="A88" s="14">
        <v>44409</v>
      </c>
      <c r="B88" s="6">
        <v>1637</v>
      </c>
      <c r="C88" s="6">
        <v>1037</v>
      </c>
      <c r="D88" s="6">
        <v>1512</v>
      </c>
      <c r="E88" s="7">
        <v>606</v>
      </c>
      <c r="F88" s="6">
        <v>1960</v>
      </c>
      <c r="G88" s="6">
        <v>1268</v>
      </c>
      <c r="H88" s="33">
        <v>0</v>
      </c>
      <c r="I88" s="7">
        <v>561</v>
      </c>
      <c r="J88" s="7">
        <v>646</v>
      </c>
      <c r="K88" s="7">
        <v>625</v>
      </c>
      <c r="L88" s="6">
        <v>1074</v>
      </c>
      <c r="M88" s="33">
        <v>0</v>
      </c>
      <c r="N88" s="6">
        <v>2154</v>
      </c>
      <c r="O88" s="6">
        <v>3465</v>
      </c>
      <c r="P88" s="7">
        <v>1</v>
      </c>
      <c r="Q88" s="7">
        <v>418</v>
      </c>
      <c r="R88" s="7">
        <v>695</v>
      </c>
      <c r="S88" s="7">
        <v>645</v>
      </c>
      <c r="T88" s="42"/>
      <c r="U88" s="7">
        <v>624</v>
      </c>
      <c r="V88" s="6">
        <v>2656</v>
      </c>
      <c r="W88" s="6">
        <v>5370</v>
      </c>
      <c r="X88" s="6">
        <v>8372</v>
      </c>
      <c r="Y88" s="6">
        <v>6107</v>
      </c>
      <c r="Z88" s="7">
        <v>0</v>
      </c>
      <c r="AA88" s="7"/>
      <c r="AB88" s="7">
        <v>0</v>
      </c>
      <c r="AC88" s="7">
        <v>0</v>
      </c>
      <c r="AD88" s="7">
        <v>0</v>
      </c>
      <c r="AE88" s="7">
        <v>458</v>
      </c>
      <c r="AF88" s="33">
        <v>0</v>
      </c>
      <c r="AG88" s="7">
        <v>0</v>
      </c>
      <c r="AH88" s="33">
        <v>0</v>
      </c>
      <c r="AI88" s="42"/>
      <c r="AJ88" s="42">
        <v>0</v>
      </c>
      <c r="AK88" s="10">
        <v>0</v>
      </c>
      <c r="AL88" s="7"/>
      <c r="AM88" s="17">
        <v>1269.4242424242425</v>
      </c>
    </row>
    <row r="89" spans="1:39">
      <c r="A89" s="14">
        <v>44440</v>
      </c>
      <c r="B89" s="6">
        <v>1367</v>
      </c>
      <c r="C89" s="7">
        <v>726</v>
      </c>
      <c r="D89" s="6">
        <v>1187</v>
      </c>
      <c r="E89" s="7">
        <v>480</v>
      </c>
      <c r="F89" s="6">
        <v>1616</v>
      </c>
      <c r="G89" s="6">
        <v>1019</v>
      </c>
      <c r="H89" s="33">
        <v>0</v>
      </c>
      <c r="I89" s="7">
        <v>421</v>
      </c>
      <c r="J89" s="7">
        <v>582</v>
      </c>
      <c r="K89" s="7">
        <v>529</v>
      </c>
      <c r="L89" s="7">
        <v>836</v>
      </c>
      <c r="M89" s="33">
        <v>0</v>
      </c>
      <c r="N89" s="6">
        <v>1549</v>
      </c>
      <c r="O89" s="6">
        <v>2755</v>
      </c>
      <c r="P89" s="33">
        <v>0</v>
      </c>
      <c r="Q89" s="7">
        <v>267</v>
      </c>
      <c r="R89" s="7">
        <v>614</v>
      </c>
      <c r="S89" s="7">
        <v>493</v>
      </c>
      <c r="T89" s="42"/>
      <c r="U89" s="7">
        <v>581</v>
      </c>
      <c r="V89" s="6">
        <v>2175</v>
      </c>
      <c r="W89" s="6">
        <v>4109</v>
      </c>
      <c r="X89" s="6">
        <v>6593</v>
      </c>
      <c r="Y89" s="6">
        <v>4465</v>
      </c>
      <c r="Z89" s="7">
        <v>0</v>
      </c>
      <c r="AA89" s="7"/>
      <c r="AB89" s="7">
        <v>0</v>
      </c>
      <c r="AC89" s="7">
        <v>0</v>
      </c>
      <c r="AD89" s="7">
        <v>0</v>
      </c>
      <c r="AE89" s="7">
        <v>418</v>
      </c>
      <c r="AF89" s="33">
        <v>0</v>
      </c>
      <c r="AG89" s="7">
        <v>0</v>
      </c>
      <c r="AH89" s="33">
        <v>0</v>
      </c>
      <c r="AI89" s="42"/>
      <c r="AJ89" s="42">
        <v>0</v>
      </c>
      <c r="AK89" s="10">
        <v>0</v>
      </c>
      <c r="AL89" s="7"/>
      <c r="AM89" s="17">
        <v>993.39393939393938</v>
      </c>
    </row>
    <row r="90" spans="1:39">
      <c r="A90" s="14">
        <v>44470</v>
      </c>
      <c r="B90" s="6">
        <v>1735</v>
      </c>
      <c r="C90" s="6">
        <v>1100</v>
      </c>
      <c r="D90" s="6">
        <v>1731</v>
      </c>
      <c r="E90" s="7">
        <v>642</v>
      </c>
      <c r="F90" s="6">
        <v>2161</v>
      </c>
      <c r="G90" s="6">
        <v>1355</v>
      </c>
      <c r="H90" s="33">
        <v>0</v>
      </c>
      <c r="I90" s="7">
        <v>657</v>
      </c>
      <c r="J90" s="7">
        <v>795</v>
      </c>
      <c r="K90" s="7">
        <v>649</v>
      </c>
      <c r="L90" s="6">
        <v>1171</v>
      </c>
      <c r="M90" s="33">
        <v>0</v>
      </c>
      <c r="N90" s="6">
        <v>2272</v>
      </c>
      <c r="O90" s="6">
        <v>3651</v>
      </c>
      <c r="P90" s="33">
        <v>0</v>
      </c>
      <c r="Q90" s="7">
        <v>395</v>
      </c>
      <c r="R90" s="7">
        <v>896</v>
      </c>
      <c r="S90" s="7">
        <v>715</v>
      </c>
      <c r="T90" s="42"/>
      <c r="U90" s="7">
        <v>729</v>
      </c>
      <c r="V90" s="6">
        <v>3181</v>
      </c>
      <c r="W90" s="6">
        <v>5945</v>
      </c>
      <c r="X90" s="6">
        <v>9843</v>
      </c>
      <c r="Y90" s="6">
        <v>6734</v>
      </c>
      <c r="Z90" s="7">
        <v>0</v>
      </c>
      <c r="AA90" s="7"/>
      <c r="AB90" s="7">
        <v>0</v>
      </c>
      <c r="AC90" s="7">
        <v>0</v>
      </c>
      <c r="AD90" s="7">
        <v>0</v>
      </c>
      <c r="AE90" s="7">
        <v>556</v>
      </c>
      <c r="AF90" s="33">
        <v>0</v>
      </c>
      <c r="AG90" s="7">
        <v>0</v>
      </c>
      <c r="AH90" s="33">
        <v>0</v>
      </c>
      <c r="AI90" s="42"/>
      <c r="AJ90" s="42">
        <v>0</v>
      </c>
      <c r="AK90" s="10">
        <v>0</v>
      </c>
      <c r="AL90" s="7"/>
      <c r="AM90" s="17">
        <v>1421.6060606060605</v>
      </c>
    </row>
    <row r="91" spans="1:39">
      <c r="A91" s="14">
        <v>44501</v>
      </c>
      <c r="B91" s="6">
        <v>1327</v>
      </c>
      <c r="C91" s="7">
        <v>948</v>
      </c>
      <c r="D91" s="6">
        <v>1311</v>
      </c>
      <c r="E91" s="7">
        <v>525</v>
      </c>
      <c r="F91" s="6">
        <v>1442</v>
      </c>
      <c r="G91" s="6">
        <v>1158</v>
      </c>
      <c r="H91" s="33">
        <v>0</v>
      </c>
      <c r="I91" s="7">
        <v>527</v>
      </c>
      <c r="J91" s="7">
        <v>520</v>
      </c>
      <c r="K91" s="7">
        <v>479</v>
      </c>
      <c r="L91" s="7">
        <v>980</v>
      </c>
      <c r="M91" s="33">
        <v>0</v>
      </c>
      <c r="N91" s="6">
        <v>1726</v>
      </c>
      <c r="O91" s="6">
        <v>2807</v>
      </c>
      <c r="P91" s="33">
        <v>0</v>
      </c>
      <c r="Q91" s="7">
        <v>367</v>
      </c>
      <c r="R91" s="7">
        <v>687</v>
      </c>
      <c r="S91" s="7">
        <v>551</v>
      </c>
      <c r="T91" s="42"/>
      <c r="U91" s="7">
        <v>599</v>
      </c>
      <c r="V91" s="6">
        <v>2391</v>
      </c>
      <c r="W91" s="6">
        <v>4192</v>
      </c>
      <c r="X91" s="6">
        <v>7710</v>
      </c>
      <c r="Y91" s="6">
        <v>5263</v>
      </c>
      <c r="Z91" s="7">
        <v>0</v>
      </c>
      <c r="AA91" s="7"/>
      <c r="AB91" s="7">
        <v>0</v>
      </c>
      <c r="AC91" s="7">
        <v>0</v>
      </c>
      <c r="AD91" s="7">
        <v>0</v>
      </c>
      <c r="AE91" s="7">
        <v>393</v>
      </c>
      <c r="AF91" s="33">
        <v>0</v>
      </c>
      <c r="AG91" s="7">
        <v>0</v>
      </c>
      <c r="AH91" s="33">
        <v>0</v>
      </c>
      <c r="AI91" s="42"/>
      <c r="AJ91" s="42">
        <v>0</v>
      </c>
      <c r="AK91" s="10">
        <v>0</v>
      </c>
      <c r="AL91" s="7"/>
      <c r="AM91" s="17">
        <v>1087.969696969697</v>
      </c>
    </row>
    <row r="92" spans="1:39">
      <c r="A92" s="14">
        <v>44531</v>
      </c>
      <c r="B92" s="6">
        <v>1383</v>
      </c>
      <c r="C92" s="6">
        <v>1031</v>
      </c>
      <c r="D92" s="6">
        <v>1241</v>
      </c>
      <c r="E92" s="7">
        <v>569</v>
      </c>
      <c r="F92" s="6">
        <v>1634</v>
      </c>
      <c r="G92" s="6">
        <v>1268</v>
      </c>
      <c r="H92" s="33">
        <v>0</v>
      </c>
      <c r="I92" s="7">
        <v>526</v>
      </c>
      <c r="J92" s="7">
        <v>473</v>
      </c>
      <c r="K92" s="7">
        <v>415</v>
      </c>
      <c r="L92" s="7">
        <v>990</v>
      </c>
      <c r="M92" s="33">
        <v>0</v>
      </c>
      <c r="N92" s="6">
        <v>1766</v>
      </c>
      <c r="O92" s="6">
        <v>3015</v>
      </c>
      <c r="P92" s="33">
        <v>0</v>
      </c>
      <c r="Q92" s="7">
        <v>396</v>
      </c>
      <c r="R92" s="7">
        <v>674</v>
      </c>
      <c r="S92" s="7">
        <v>607</v>
      </c>
      <c r="T92" s="42"/>
      <c r="U92" s="7">
        <v>579</v>
      </c>
      <c r="V92" s="6">
        <v>2499</v>
      </c>
      <c r="W92" s="6">
        <v>4616</v>
      </c>
      <c r="X92" s="6">
        <v>7540</v>
      </c>
      <c r="Y92" s="6">
        <v>5495</v>
      </c>
      <c r="Z92" s="7">
        <v>0</v>
      </c>
      <c r="AA92" s="7"/>
      <c r="AB92" s="7">
        <v>0</v>
      </c>
      <c r="AC92" s="7">
        <v>0</v>
      </c>
      <c r="AD92" s="7">
        <v>0</v>
      </c>
      <c r="AE92" s="7">
        <v>399</v>
      </c>
      <c r="AF92" s="33">
        <v>0</v>
      </c>
      <c r="AG92" s="7">
        <v>0</v>
      </c>
      <c r="AH92" s="33">
        <v>0</v>
      </c>
      <c r="AI92" s="42"/>
      <c r="AJ92" s="42">
        <v>0</v>
      </c>
      <c r="AK92" s="10">
        <v>0</v>
      </c>
      <c r="AL92" s="7"/>
      <c r="AM92" s="17">
        <v>1124.7272727272727</v>
      </c>
    </row>
    <row r="93" spans="1:39">
      <c r="A93" s="14">
        <v>44562</v>
      </c>
      <c r="B93" s="6">
        <v>1277</v>
      </c>
      <c r="C93" s="7">
        <v>956</v>
      </c>
      <c r="D93" s="6">
        <v>1436</v>
      </c>
      <c r="E93" s="7">
        <v>546</v>
      </c>
      <c r="F93" s="6">
        <v>1600</v>
      </c>
      <c r="G93" s="6">
        <v>1357</v>
      </c>
      <c r="H93" s="33">
        <v>0</v>
      </c>
      <c r="I93" s="7">
        <v>630</v>
      </c>
      <c r="J93" s="7">
        <v>543</v>
      </c>
      <c r="K93" s="7">
        <v>483</v>
      </c>
      <c r="L93" s="6">
        <v>1065</v>
      </c>
      <c r="M93" s="33">
        <v>0</v>
      </c>
      <c r="N93" s="6">
        <v>1844</v>
      </c>
      <c r="O93" s="6">
        <v>3850</v>
      </c>
      <c r="P93" s="33">
        <v>0</v>
      </c>
      <c r="Q93" s="7">
        <v>307</v>
      </c>
      <c r="R93" s="7">
        <v>738</v>
      </c>
      <c r="S93" s="7">
        <v>495</v>
      </c>
      <c r="T93" s="42"/>
      <c r="U93" s="7">
        <v>606</v>
      </c>
      <c r="V93" s="6">
        <v>2265</v>
      </c>
      <c r="W93" s="6">
        <v>4420</v>
      </c>
      <c r="X93" s="6">
        <v>7403</v>
      </c>
      <c r="Y93" s="6">
        <v>5599</v>
      </c>
      <c r="Z93" s="7">
        <v>0</v>
      </c>
      <c r="AA93" s="7"/>
      <c r="AB93" s="7">
        <v>0</v>
      </c>
      <c r="AC93" s="7">
        <v>0</v>
      </c>
      <c r="AD93" s="7">
        <v>0</v>
      </c>
      <c r="AE93" s="7">
        <v>433</v>
      </c>
      <c r="AF93" s="33">
        <v>0</v>
      </c>
      <c r="AG93" s="7">
        <v>0</v>
      </c>
      <c r="AH93" s="33">
        <v>0</v>
      </c>
      <c r="AI93" s="42"/>
      <c r="AJ93" s="42">
        <v>0</v>
      </c>
      <c r="AK93" s="10">
        <v>0</v>
      </c>
      <c r="AL93" s="7"/>
      <c r="AM93" s="17">
        <v>1147.060606060606</v>
      </c>
    </row>
    <row r="94" spans="1:39">
      <c r="A94" s="14">
        <v>44593</v>
      </c>
      <c r="B94" s="6">
        <v>1452</v>
      </c>
      <c r="C94" s="7">
        <v>990</v>
      </c>
      <c r="D94" s="6">
        <v>1447</v>
      </c>
      <c r="E94" s="7">
        <v>568</v>
      </c>
      <c r="F94" s="6">
        <v>1572</v>
      </c>
      <c r="G94" s="6">
        <v>1358</v>
      </c>
      <c r="H94" s="33">
        <v>0</v>
      </c>
      <c r="I94" s="7">
        <v>565</v>
      </c>
      <c r="J94" s="7">
        <v>565</v>
      </c>
      <c r="K94" s="7">
        <v>450</v>
      </c>
      <c r="L94" s="6">
        <v>1007</v>
      </c>
      <c r="M94" s="33">
        <v>0</v>
      </c>
      <c r="N94" s="6">
        <v>1833</v>
      </c>
      <c r="O94" s="6">
        <v>3735</v>
      </c>
      <c r="P94" s="33">
        <v>0</v>
      </c>
      <c r="Q94" s="7">
        <v>250</v>
      </c>
      <c r="R94" s="7">
        <v>694</v>
      </c>
      <c r="S94" s="7">
        <v>509</v>
      </c>
      <c r="T94" s="42"/>
      <c r="U94" s="7">
        <v>544</v>
      </c>
      <c r="V94" s="6">
        <v>2275</v>
      </c>
      <c r="W94" s="6">
        <v>4559</v>
      </c>
      <c r="X94" s="6">
        <v>7752</v>
      </c>
      <c r="Y94" s="6">
        <v>6384</v>
      </c>
      <c r="Z94" s="7">
        <v>0</v>
      </c>
      <c r="AA94" s="7"/>
      <c r="AB94" s="7">
        <v>0</v>
      </c>
      <c r="AC94" s="7">
        <v>0</v>
      </c>
      <c r="AD94" s="7">
        <v>0</v>
      </c>
      <c r="AE94" s="7">
        <v>444</v>
      </c>
      <c r="AF94" s="33">
        <v>0</v>
      </c>
      <c r="AG94" s="7">
        <v>0</v>
      </c>
      <c r="AH94" s="33">
        <v>0</v>
      </c>
      <c r="AI94" s="42"/>
      <c r="AJ94" s="42">
        <v>0</v>
      </c>
      <c r="AK94" s="10">
        <v>0</v>
      </c>
      <c r="AL94" s="7"/>
      <c r="AM94" s="17">
        <v>1180.3939393939395</v>
      </c>
    </row>
    <row r="95" spans="1:39">
      <c r="A95" s="14">
        <v>44621</v>
      </c>
      <c r="B95" s="6">
        <v>1414</v>
      </c>
      <c r="C95" s="6">
        <v>1113</v>
      </c>
      <c r="D95" s="6">
        <v>1738</v>
      </c>
      <c r="E95" s="7">
        <v>580</v>
      </c>
      <c r="F95" s="6">
        <v>1812</v>
      </c>
      <c r="G95" s="6">
        <v>1328</v>
      </c>
      <c r="H95" s="33">
        <v>0</v>
      </c>
      <c r="I95" s="7">
        <v>604</v>
      </c>
      <c r="J95" s="7">
        <v>570</v>
      </c>
      <c r="K95" s="7">
        <v>587</v>
      </c>
      <c r="L95" s="6">
        <v>1047</v>
      </c>
      <c r="M95" s="33">
        <v>0</v>
      </c>
      <c r="N95" s="6">
        <v>1919</v>
      </c>
      <c r="O95" s="6">
        <v>3400</v>
      </c>
      <c r="P95" s="33">
        <v>0</v>
      </c>
      <c r="Q95" s="7">
        <v>266</v>
      </c>
      <c r="R95" s="7">
        <v>751</v>
      </c>
      <c r="S95" s="7">
        <v>618</v>
      </c>
      <c r="T95" s="42"/>
      <c r="U95" s="7">
        <v>639</v>
      </c>
      <c r="V95" s="6">
        <v>2321</v>
      </c>
      <c r="W95" s="6">
        <v>5039</v>
      </c>
      <c r="X95" s="6">
        <v>8463</v>
      </c>
      <c r="Y95" s="6">
        <v>6137</v>
      </c>
      <c r="Z95" s="7">
        <v>0</v>
      </c>
      <c r="AA95" s="7"/>
      <c r="AB95" s="7">
        <v>0</v>
      </c>
      <c r="AC95" s="7">
        <v>0</v>
      </c>
      <c r="AD95" s="7">
        <v>0</v>
      </c>
      <c r="AE95" s="7">
        <v>404</v>
      </c>
      <c r="AF95" s="33">
        <v>0</v>
      </c>
      <c r="AG95" s="7">
        <v>0</v>
      </c>
      <c r="AH95" s="33">
        <v>0</v>
      </c>
      <c r="AI95" s="42"/>
      <c r="AJ95" s="42">
        <v>0</v>
      </c>
      <c r="AK95" s="10">
        <v>0</v>
      </c>
      <c r="AL95" s="7"/>
      <c r="AM95" s="17">
        <v>1234.8484848484848</v>
      </c>
    </row>
    <row r="96" spans="1:39">
      <c r="A96" s="14">
        <v>44652</v>
      </c>
      <c r="B96" s="6">
        <v>3219</v>
      </c>
      <c r="C96" s="6">
        <v>1079</v>
      </c>
      <c r="D96" s="7">
        <v>0</v>
      </c>
      <c r="E96" s="7">
        <v>694</v>
      </c>
      <c r="F96" s="6">
        <v>2084</v>
      </c>
      <c r="G96" s="6">
        <v>1250</v>
      </c>
      <c r="H96" s="33">
        <v>0</v>
      </c>
      <c r="I96" s="7">
        <v>632</v>
      </c>
      <c r="J96" s="7">
        <v>714</v>
      </c>
      <c r="K96" s="7">
        <v>703</v>
      </c>
      <c r="L96" s="7">
        <v>938</v>
      </c>
      <c r="M96" s="33">
        <v>0</v>
      </c>
      <c r="N96" s="6">
        <v>2178</v>
      </c>
      <c r="O96" s="6">
        <v>3427</v>
      </c>
      <c r="P96" s="10">
        <v>0</v>
      </c>
      <c r="Q96" s="7">
        <v>334</v>
      </c>
      <c r="R96" s="7">
        <v>727</v>
      </c>
      <c r="S96" s="7">
        <v>621</v>
      </c>
      <c r="T96" s="42"/>
      <c r="U96" s="7">
        <v>612</v>
      </c>
      <c r="V96" s="6">
        <v>2858</v>
      </c>
      <c r="W96" s="6">
        <v>5518</v>
      </c>
      <c r="X96" s="6">
        <v>8758</v>
      </c>
      <c r="Y96" s="6">
        <v>6067</v>
      </c>
      <c r="Z96" s="7">
        <v>0</v>
      </c>
      <c r="AA96" s="7"/>
      <c r="AB96" s="7">
        <v>0</v>
      </c>
      <c r="AC96" s="7">
        <v>0</v>
      </c>
      <c r="AD96" s="33">
        <v>0</v>
      </c>
      <c r="AE96" s="7">
        <v>526</v>
      </c>
      <c r="AF96" s="33">
        <v>0</v>
      </c>
      <c r="AG96" s="33">
        <v>0</v>
      </c>
      <c r="AH96" s="33">
        <v>0</v>
      </c>
      <c r="AI96" s="42"/>
      <c r="AJ96" s="42">
        <v>0</v>
      </c>
      <c r="AK96" s="10">
        <v>0</v>
      </c>
      <c r="AL96" s="7"/>
      <c r="AM96" s="17">
        <v>1301.1818181818182</v>
      </c>
    </row>
    <row r="97" spans="1:39">
      <c r="A97" s="14">
        <v>44682</v>
      </c>
      <c r="B97" s="6">
        <v>4451</v>
      </c>
      <c r="C97" s="6">
        <v>1411</v>
      </c>
      <c r="D97" s="7">
        <v>0</v>
      </c>
      <c r="E97" s="7">
        <v>923</v>
      </c>
      <c r="F97" s="6">
        <v>2801</v>
      </c>
      <c r="G97" s="6">
        <v>1853</v>
      </c>
      <c r="H97" s="33">
        <v>0</v>
      </c>
      <c r="I97" s="7">
        <v>811</v>
      </c>
      <c r="J97" s="7">
        <v>858</v>
      </c>
      <c r="K97" s="7">
        <v>913</v>
      </c>
      <c r="L97" s="6">
        <v>1296</v>
      </c>
      <c r="M97" s="33">
        <v>0</v>
      </c>
      <c r="N97" s="6">
        <v>2618</v>
      </c>
      <c r="O97" s="6">
        <v>4399</v>
      </c>
      <c r="P97" s="10">
        <v>0</v>
      </c>
      <c r="Q97" s="7">
        <v>489</v>
      </c>
      <c r="R97" s="6">
        <v>1052</v>
      </c>
      <c r="S97" s="7">
        <v>878</v>
      </c>
      <c r="T97" s="42"/>
      <c r="U97" s="7">
        <v>914</v>
      </c>
      <c r="V97" s="6">
        <v>4142</v>
      </c>
      <c r="W97" s="6">
        <v>7700</v>
      </c>
      <c r="X97" s="6">
        <v>11920</v>
      </c>
      <c r="Y97" s="6">
        <v>8114</v>
      </c>
      <c r="Z97" s="7">
        <v>0</v>
      </c>
      <c r="AA97" s="7"/>
      <c r="AB97" s="7">
        <v>0</v>
      </c>
      <c r="AC97" s="7">
        <v>0</v>
      </c>
      <c r="AD97" s="33">
        <v>0</v>
      </c>
      <c r="AE97" s="7">
        <v>686</v>
      </c>
      <c r="AF97" s="33">
        <v>0</v>
      </c>
      <c r="AG97" s="33">
        <v>0</v>
      </c>
      <c r="AH97" s="33">
        <v>0</v>
      </c>
      <c r="AI97" s="42"/>
      <c r="AJ97" s="42">
        <v>0</v>
      </c>
      <c r="AK97" s="10">
        <v>0</v>
      </c>
      <c r="AL97" s="7"/>
      <c r="AM97" s="17">
        <v>1764.5151515151515</v>
      </c>
    </row>
    <row r="98" spans="1:39">
      <c r="A98" s="14">
        <v>44713</v>
      </c>
      <c r="B98" s="6">
        <v>3839</v>
      </c>
      <c r="C98" s="6">
        <v>1215</v>
      </c>
      <c r="D98" s="7">
        <v>0</v>
      </c>
      <c r="E98" s="7">
        <v>873</v>
      </c>
      <c r="F98" s="6">
        <v>2509</v>
      </c>
      <c r="G98" s="6">
        <v>1493</v>
      </c>
      <c r="H98" s="33">
        <v>0</v>
      </c>
      <c r="I98" s="7">
        <v>552</v>
      </c>
      <c r="J98" s="7">
        <v>713</v>
      </c>
      <c r="K98" s="7">
        <v>752</v>
      </c>
      <c r="L98" s="6">
        <v>1240</v>
      </c>
      <c r="M98" s="33">
        <v>0</v>
      </c>
      <c r="N98" s="6">
        <v>1999</v>
      </c>
      <c r="O98" s="6">
        <v>3640</v>
      </c>
      <c r="P98" s="7">
        <v>0</v>
      </c>
      <c r="Q98" s="7">
        <v>467</v>
      </c>
      <c r="R98" s="6">
        <v>1012</v>
      </c>
      <c r="S98" s="7">
        <v>806</v>
      </c>
      <c r="T98" s="42"/>
      <c r="U98" s="7">
        <v>785</v>
      </c>
      <c r="V98" s="6">
        <v>3285</v>
      </c>
      <c r="W98" s="6">
        <v>6176</v>
      </c>
      <c r="X98" s="6">
        <v>10070</v>
      </c>
      <c r="Y98" s="6">
        <v>6565</v>
      </c>
      <c r="Z98" s="7">
        <v>0</v>
      </c>
      <c r="AA98" s="7"/>
      <c r="AB98" s="7">
        <v>0</v>
      </c>
      <c r="AC98" s="7">
        <v>0</v>
      </c>
      <c r="AD98" s="33">
        <v>0</v>
      </c>
      <c r="AE98" s="7">
        <v>569</v>
      </c>
      <c r="AF98" s="33">
        <v>0</v>
      </c>
      <c r="AG98" s="33">
        <v>0</v>
      </c>
      <c r="AH98" s="33">
        <v>0</v>
      </c>
      <c r="AI98" s="42"/>
      <c r="AJ98" s="42">
        <v>0</v>
      </c>
      <c r="AK98" s="10">
        <v>0</v>
      </c>
      <c r="AL98" s="7"/>
      <c r="AM98" s="17">
        <v>1471.5151515151515</v>
      </c>
    </row>
    <row r="99" spans="1:39">
      <c r="A99" s="14">
        <v>44743</v>
      </c>
      <c r="B99" s="6">
        <v>4845</v>
      </c>
      <c r="C99" s="6">
        <v>1557</v>
      </c>
      <c r="D99" s="7">
        <v>0</v>
      </c>
      <c r="E99" s="6">
        <v>1067</v>
      </c>
      <c r="F99" s="6">
        <v>2910</v>
      </c>
      <c r="G99" s="6">
        <v>1861</v>
      </c>
      <c r="H99" s="33">
        <v>0</v>
      </c>
      <c r="I99" s="7">
        <v>655</v>
      </c>
      <c r="J99" s="7">
        <v>823</v>
      </c>
      <c r="K99" s="6">
        <v>1000</v>
      </c>
      <c r="L99" s="6">
        <v>1300</v>
      </c>
      <c r="M99" s="33">
        <v>0</v>
      </c>
      <c r="N99" s="6">
        <v>2405</v>
      </c>
      <c r="O99" s="6">
        <v>4934</v>
      </c>
      <c r="P99" s="7">
        <v>0</v>
      </c>
      <c r="Q99" s="7">
        <v>498</v>
      </c>
      <c r="R99" s="6">
        <v>1107</v>
      </c>
      <c r="S99" s="6">
        <v>1055</v>
      </c>
      <c r="T99" s="43"/>
      <c r="U99" s="6">
        <v>1164</v>
      </c>
      <c r="V99" s="6">
        <v>4196</v>
      </c>
      <c r="W99" s="6">
        <v>8096</v>
      </c>
      <c r="X99" s="6">
        <v>13403</v>
      </c>
      <c r="Y99" s="6">
        <v>7893</v>
      </c>
      <c r="Z99" s="7">
        <v>0</v>
      </c>
      <c r="AA99" s="7"/>
      <c r="AB99" s="7">
        <v>0</v>
      </c>
      <c r="AC99" s="7">
        <v>0</v>
      </c>
      <c r="AD99" s="33">
        <v>0</v>
      </c>
      <c r="AE99" s="7">
        <v>647</v>
      </c>
      <c r="AF99" s="33">
        <v>0</v>
      </c>
      <c r="AG99" s="33">
        <v>0</v>
      </c>
      <c r="AH99" s="33">
        <v>0</v>
      </c>
      <c r="AI99" s="42"/>
      <c r="AJ99" s="42">
        <v>0</v>
      </c>
      <c r="AK99" s="10">
        <v>0</v>
      </c>
      <c r="AL99" s="7"/>
      <c r="AM99" s="17">
        <v>1861.090909090909</v>
      </c>
    </row>
    <row r="100" spans="1:39">
      <c r="A100" s="14">
        <v>44774</v>
      </c>
      <c r="B100" s="6">
        <v>3824</v>
      </c>
      <c r="C100" s="6">
        <v>1164</v>
      </c>
      <c r="D100" s="7">
        <v>0</v>
      </c>
      <c r="E100" s="7">
        <v>935</v>
      </c>
      <c r="F100" s="6">
        <v>2431</v>
      </c>
      <c r="G100" s="6">
        <v>1540</v>
      </c>
      <c r="H100" s="33">
        <v>0</v>
      </c>
      <c r="I100" s="7">
        <v>515</v>
      </c>
      <c r="J100" s="7">
        <v>768</v>
      </c>
      <c r="K100" s="7">
        <v>829</v>
      </c>
      <c r="L100" s="6">
        <v>1242</v>
      </c>
      <c r="M100" s="33">
        <v>0</v>
      </c>
      <c r="N100" s="6">
        <v>2141</v>
      </c>
      <c r="O100" s="6">
        <v>3948</v>
      </c>
      <c r="P100" s="7">
        <v>0</v>
      </c>
      <c r="Q100" s="7">
        <v>403</v>
      </c>
      <c r="R100" s="6">
        <v>1034</v>
      </c>
      <c r="S100" s="7">
        <v>785</v>
      </c>
      <c r="T100" s="42"/>
      <c r="U100" s="7">
        <v>914</v>
      </c>
      <c r="V100" s="6">
        <v>3662</v>
      </c>
      <c r="W100" s="6">
        <v>6626</v>
      </c>
      <c r="X100" s="6">
        <v>10743</v>
      </c>
      <c r="Y100" s="6">
        <v>6875</v>
      </c>
      <c r="Z100" s="7">
        <v>0</v>
      </c>
      <c r="AA100" s="7"/>
      <c r="AB100" s="7">
        <v>0</v>
      </c>
      <c r="AC100" s="7">
        <v>0</v>
      </c>
      <c r="AD100" s="33">
        <v>0</v>
      </c>
      <c r="AE100" s="7">
        <v>600</v>
      </c>
      <c r="AF100" s="33">
        <v>0</v>
      </c>
      <c r="AG100" s="33">
        <v>0</v>
      </c>
      <c r="AH100" s="33">
        <v>0</v>
      </c>
      <c r="AI100" s="42"/>
      <c r="AJ100" s="42">
        <v>0</v>
      </c>
      <c r="AK100" s="10">
        <v>0</v>
      </c>
      <c r="AL100" s="7"/>
      <c r="AM100" s="17">
        <v>1544.8181818181818</v>
      </c>
    </row>
    <row r="101" spans="1:39">
      <c r="A101" s="14">
        <v>44805</v>
      </c>
      <c r="B101" s="6">
        <v>4070</v>
      </c>
      <c r="C101" s="6">
        <v>1215</v>
      </c>
      <c r="D101" s="7">
        <v>0</v>
      </c>
      <c r="E101" s="7">
        <v>987</v>
      </c>
      <c r="F101" s="6">
        <v>2671</v>
      </c>
      <c r="G101" s="6">
        <v>1626</v>
      </c>
      <c r="H101" s="33">
        <v>0</v>
      </c>
      <c r="I101" s="7">
        <v>591</v>
      </c>
      <c r="J101" s="7">
        <v>910</v>
      </c>
      <c r="K101" s="7">
        <v>837</v>
      </c>
      <c r="L101" s="6">
        <v>1285</v>
      </c>
      <c r="M101" s="33">
        <v>0</v>
      </c>
      <c r="N101" s="6">
        <v>2109</v>
      </c>
      <c r="O101" s="6">
        <v>3810</v>
      </c>
      <c r="P101" s="7">
        <v>0</v>
      </c>
      <c r="Q101" s="7">
        <v>443</v>
      </c>
      <c r="R101" s="6">
        <v>1160</v>
      </c>
      <c r="S101" s="7">
        <v>808</v>
      </c>
      <c r="T101" s="42"/>
      <c r="U101" s="7">
        <v>855</v>
      </c>
      <c r="V101" s="6">
        <v>3750</v>
      </c>
      <c r="W101" s="6">
        <v>6403</v>
      </c>
      <c r="X101" s="6">
        <v>10594</v>
      </c>
      <c r="Y101" s="6">
        <v>6850</v>
      </c>
      <c r="Z101" s="7">
        <v>0</v>
      </c>
      <c r="AA101" s="7"/>
      <c r="AB101" s="7">
        <v>0</v>
      </c>
      <c r="AC101" s="7">
        <v>0</v>
      </c>
      <c r="AD101" s="33">
        <v>0</v>
      </c>
      <c r="AE101" s="7">
        <v>629</v>
      </c>
      <c r="AF101" s="33">
        <v>0</v>
      </c>
      <c r="AG101" s="33">
        <v>0</v>
      </c>
      <c r="AH101" s="33">
        <v>0</v>
      </c>
      <c r="AI101" s="42"/>
      <c r="AJ101" s="42">
        <v>0</v>
      </c>
      <c r="AK101" s="10">
        <v>0</v>
      </c>
      <c r="AL101" s="7"/>
      <c r="AM101" s="17">
        <v>1563.7272727272727</v>
      </c>
    </row>
    <row r="102" spans="1:39">
      <c r="A102" s="14">
        <v>44835</v>
      </c>
      <c r="B102" s="6">
        <v>5240</v>
      </c>
      <c r="C102" s="6">
        <v>1626</v>
      </c>
      <c r="D102" s="7">
        <v>0</v>
      </c>
      <c r="E102" s="6">
        <v>1141</v>
      </c>
      <c r="F102" s="6">
        <v>3388</v>
      </c>
      <c r="G102" s="6">
        <v>1912</v>
      </c>
      <c r="H102" s="33">
        <v>0</v>
      </c>
      <c r="I102" s="7">
        <v>802</v>
      </c>
      <c r="J102" s="6">
        <v>1029</v>
      </c>
      <c r="K102" s="6">
        <v>1157</v>
      </c>
      <c r="L102" s="6">
        <v>1560</v>
      </c>
      <c r="M102" s="33">
        <v>0</v>
      </c>
      <c r="N102" s="6">
        <v>2537</v>
      </c>
      <c r="O102" s="6">
        <v>5104</v>
      </c>
      <c r="P102" s="7">
        <v>0</v>
      </c>
      <c r="Q102" s="7">
        <v>502</v>
      </c>
      <c r="R102" s="6">
        <v>1283</v>
      </c>
      <c r="S102" s="6">
        <v>1038</v>
      </c>
      <c r="T102" s="43"/>
      <c r="U102" s="6">
        <v>1150</v>
      </c>
      <c r="V102" s="6">
        <v>4702</v>
      </c>
      <c r="W102" s="6">
        <v>8396</v>
      </c>
      <c r="X102" s="6">
        <v>13363</v>
      </c>
      <c r="Y102" s="6">
        <v>8574</v>
      </c>
      <c r="Z102" s="7">
        <v>0</v>
      </c>
      <c r="AA102" s="7"/>
      <c r="AB102" s="7">
        <v>0</v>
      </c>
      <c r="AC102" s="7">
        <v>0</v>
      </c>
      <c r="AD102" s="33">
        <v>0</v>
      </c>
      <c r="AE102" s="7">
        <v>742</v>
      </c>
      <c r="AF102" s="33">
        <v>0</v>
      </c>
      <c r="AG102" s="33">
        <v>0</v>
      </c>
      <c r="AH102" s="33">
        <v>0</v>
      </c>
      <c r="AI102" s="42"/>
      <c r="AJ102" s="42">
        <v>0</v>
      </c>
      <c r="AK102" s="10">
        <v>0</v>
      </c>
      <c r="AL102" s="7"/>
      <c r="AM102" s="17">
        <v>1977.1515151515152</v>
      </c>
    </row>
    <row r="103" spans="1:39">
      <c r="A103" s="14">
        <v>44866</v>
      </c>
      <c r="B103" s="6">
        <v>3856</v>
      </c>
      <c r="C103" s="6">
        <v>1063</v>
      </c>
      <c r="D103" s="7">
        <v>0</v>
      </c>
      <c r="E103" s="7">
        <v>832</v>
      </c>
      <c r="F103" s="6">
        <v>2347</v>
      </c>
      <c r="G103" s="6">
        <v>1633</v>
      </c>
      <c r="H103" s="33">
        <v>0</v>
      </c>
      <c r="I103" s="7">
        <v>533</v>
      </c>
      <c r="J103" s="7">
        <v>721</v>
      </c>
      <c r="K103" s="7">
        <v>845</v>
      </c>
      <c r="L103" s="6">
        <v>1149</v>
      </c>
      <c r="M103" s="33">
        <v>0</v>
      </c>
      <c r="N103" s="6">
        <v>1833</v>
      </c>
      <c r="O103" s="6">
        <v>4072</v>
      </c>
      <c r="P103" s="7">
        <v>0</v>
      </c>
      <c r="Q103" s="7">
        <v>468</v>
      </c>
      <c r="R103" s="6">
        <v>1007</v>
      </c>
      <c r="S103" s="7">
        <v>872</v>
      </c>
      <c r="T103" s="42"/>
      <c r="U103" s="7">
        <v>809</v>
      </c>
      <c r="V103" s="6">
        <v>3413</v>
      </c>
      <c r="W103" s="6">
        <v>6164</v>
      </c>
      <c r="X103" s="6">
        <v>9579</v>
      </c>
      <c r="Y103" s="6">
        <v>6534</v>
      </c>
      <c r="Z103" s="7">
        <v>0</v>
      </c>
      <c r="AA103" s="7"/>
      <c r="AB103" s="7">
        <v>0</v>
      </c>
      <c r="AC103" s="7">
        <v>0</v>
      </c>
      <c r="AD103" s="33">
        <v>0</v>
      </c>
      <c r="AE103" s="7">
        <v>434</v>
      </c>
      <c r="AF103" s="33">
        <v>0</v>
      </c>
      <c r="AG103" s="33">
        <v>0</v>
      </c>
      <c r="AH103" s="33">
        <v>0</v>
      </c>
      <c r="AI103" s="42"/>
      <c r="AJ103" s="42">
        <v>0</v>
      </c>
      <c r="AK103" s="10">
        <v>0</v>
      </c>
      <c r="AL103" s="7"/>
      <c r="AM103" s="17">
        <v>1459.5151515151515</v>
      </c>
    </row>
    <row r="104" spans="1:39">
      <c r="A104" s="14">
        <v>44896</v>
      </c>
      <c r="B104" s="6">
        <v>3210</v>
      </c>
      <c r="C104" s="7">
        <v>916</v>
      </c>
      <c r="D104" s="7">
        <v>0</v>
      </c>
      <c r="E104" s="7">
        <v>730</v>
      </c>
      <c r="F104" s="6">
        <v>1987</v>
      </c>
      <c r="G104" s="6">
        <v>1415</v>
      </c>
      <c r="H104" s="33">
        <v>0</v>
      </c>
      <c r="I104" s="7">
        <v>482</v>
      </c>
      <c r="J104" s="7">
        <v>573</v>
      </c>
      <c r="K104" s="7">
        <v>697</v>
      </c>
      <c r="L104" s="7">
        <v>900</v>
      </c>
      <c r="M104" s="33">
        <v>0</v>
      </c>
      <c r="N104" s="6">
        <v>1500</v>
      </c>
      <c r="O104" s="6">
        <v>3958</v>
      </c>
      <c r="P104" s="7">
        <v>0</v>
      </c>
      <c r="Q104" s="7">
        <v>345</v>
      </c>
      <c r="R104" s="7">
        <v>733</v>
      </c>
      <c r="S104" s="7">
        <v>725</v>
      </c>
      <c r="T104" s="42"/>
      <c r="U104" s="7">
        <v>779</v>
      </c>
      <c r="V104" s="6">
        <v>2792</v>
      </c>
      <c r="W104" s="6">
        <v>5327</v>
      </c>
      <c r="X104" s="6">
        <v>8592</v>
      </c>
      <c r="Y104" s="6">
        <v>5573</v>
      </c>
      <c r="Z104" s="7">
        <v>0</v>
      </c>
      <c r="AA104" s="7"/>
      <c r="AB104" s="7">
        <v>0</v>
      </c>
      <c r="AC104" s="7">
        <v>0</v>
      </c>
      <c r="AD104" s="33">
        <v>0</v>
      </c>
      <c r="AE104" s="7">
        <v>391</v>
      </c>
      <c r="AF104" s="33">
        <v>0</v>
      </c>
      <c r="AG104" s="33">
        <v>0</v>
      </c>
      <c r="AH104" s="33">
        <v>0</v>
      </c>
      <c r="AI104" s="42"/>
      <c r="AJ104" s="42">
        <v>0</v>
      </c>
      <c r="AK104" s="10">
        <v>0</v>
      </c>
      <c r="AL104" s="7"/>
      <c r="AM104" s="17">
        <v>1261.3636363636363</v>
      </c>
    </row>
    <row r="105" spans="1:39">
      <c r="A105" s="15"/>
      <c r="B105" s="6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17"/>
    </row>
    <row r="106" spans="1:39" s="19" customFormat="1">
      <c r="A106" s="62"/>
      <c r="B106" s="62"/>
      <c r="C106" s="62"/>
      <c r="D106" s="62"/>
      <c r="E106" s="62"/>
      <c r="F106" s="10"/>
      <c r="G106" s="10"/>
      <c r="H106" s="10"/>
      <c r="I106" s="8"/>
      <c r="J106" s="10"/>
      <c r="K106" s="8"/>
      <c r="L106" s="10"/>
      <c r="M106" s="8"/>
      <c r="N106" s="10"/>
      <c r="O106" s="10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0"/>
      <c r="AA106" s="10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18"/>
    </row>
    <row r="107" spans="1:39" s="19" customFormat="1">
      <c r="A107" s="15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8"/>
    </row>
    <row r="108" spans="1:39" s="19" customFormat="1">
      <c r="A108" s="15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8"/>
    </row>
    <row r="109" spans="1:39" s="19" customFormat="1">
      <c r="A109" s="15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8"/>
    </row>
    <row r="110" spans="1:39" s="19" customFormat="1">
      <c r="A110" s="15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8"/>
    </row>
    <row r="111" spans="1:39" s="19" customFormat="1">
      <c r="A111" s="15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8"/>
    </row>
    <row r="112" spans="1:39" s="19" customFormat="1">
      <c r="A112" s="15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8"/>
    </row>
    <row r="113" spans="1:39" s="19" customFormat="1">
      <c r="A113" s="15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8"/>
    </row>
    <row r="114" spans="1:39" s="19" customFormat="1">
      <c r="A114" s="1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8"/>
    </row>
    <row r="115" spans="1:39" s="19" customFormat="1">
      <c r="A115" s="15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8"/>
    </row>
    <row r="116" spans="1:39" s="19" customFormat="1">
      <c r="A116" s="15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8"/>
    </row>
    <row r="117" spans="1:39" s="19" customFormat="1">
      <c r="A117" s="15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8"/>
    </row>
    <row r="118" spans="1:39" s="19" customFormat="1">
      <c r="A118" s="15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8"/>
    </row>
    <row r="119" spans="1:39" s="19" customFormat="1">
      <c r="A119" s="15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8"/>
    </row>
    <row r="120" spans="1:39" s="19" customFormat="1">
      <c r="A120" s="15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8"/>
    </row>
    <row r="121" spans="1:39" s="19" customFormat="1">
      <c r="A121" s="15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8"/>
    </row>
    <row r="122" spans="1:39" s="19" customFormat="1">
      <c r="A122" s="15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8"/>
    </row>
    <row r="123" spans="1:39" s="19" customFormat="1">
      <c r="A123" s="15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8"/>
    </row>
    <row r="124" spans="1:39" s="19" customFormat="1">
      <c r="A124" s="15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8"/>
    </row>
    <row r="125" spans="1:39" s="19" customFormat="1">
      <c r="A125" s="15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8"/>
    </row>
    <row r="126" spans="1:39" s="19" customFormat="1">
      <c r="A126" s="15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8"/>
    </row>
    <row r="127" spans="1:39" s="19" customFormat="1">
      <c r="A127" s="15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8"/>
    </row>
    <row r="128" spans="1:39" s="19" customFormat="1">
      <c r="A128" s="15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8"/>
    </row>
    <row r="129" spans="1:39" s="19" customFormat="1">
      <c r="A129" s="15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8"/>
    </row>
    <row r="130" spans="1:39" s="19" customFormat="1">
      <c r="A130" s="15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8"/>
    </row>
    <row r="131" spans="1:39" s="19" customFormat="1">
      <c r="A131" s="15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18"/>
    </row>
    <row r="132" spans="1:39" s="19" customFormat="1">
      <c r="A132" s="15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18"/>
    </row>
    <row r="133" spans="1:39" s="19" customFormat="1">
      <c r="A133" s="15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18"/>
    </row>
    <row r="134" spans="1:39" s="19" customFormat="1">
      <c r="A134" s="1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18"/>
    </row>
    <row r="135" spans="1:39" s="19" customFormat="1">
      <c r="A135" s="15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18"/>
    </row>
    <row r="136" spans="1:39" s="19" customFormat="1">
      <c r="A136" s="15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18"/>
    </row>
    <row r="137" spans="1:39" s="19" customFormat="1">
      <c r="A137" s="15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18"/>
    </row>
    <row r="138" spans="1:39" s="19" customFormat="1">
      <c r="A138" s="15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18"/>
    </row>
    <row r="139" spans="1:39" s="19" customFormat="1">
      <c r="A139" s="15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18"/>
    </row>
    <row r="140" spans="1:39" s="19" customFormat="1">
      <c r="A140" s="15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18"/>
    </row>
    <row r="141" spans="1:39" s="19" customFormat="1">
      <c r="A141" s="15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18"/>
    </row>
    <row r="142" spans="1:39" s="19" customFormat="1">
      <c r="A142" s="15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18"/>
    </row>
    <row r="143" spans="1:39" s="19" customFormat="1">
      <c r="A143" s="15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18"/>
    </row>
    <row r="144" spans="1:39" s="19" customFormat="1">
      <c r="A144" s="15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18"/>
    </row>
    <row r="145" spans="1:39" s="19" customFormat="1">
      <c r="A145" s="15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18"/>
    </row>
    <row r="146" spans="1:39" s="19" customFormat="1">
      <c r="A146" s="15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8"/>
    </row>
    <row r="147" spans="1:39" s="19" customFormat="1">
      <c r="A147" s="15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18"/>
    </row>
    <row r="148" spans="1:39" s="19" customFormat="1">
      <c r="A148" s="15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18"/>
    </row>
    <row r="149" spans="1:39" s="19" customFormat="1">
      <c r="A149" s="15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18"/>
    </row>
    <row r="150" spans="1:39" s="19" customFormat="1">
      <c r="A150" s="15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18"/>
    </row>
    <row r="151" spans="1:39" s="19" customFormat="1">
      <c r="A151" s="15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18"/>
    </row>
    <row r="152" spans="1:39" s="19" customFormat="1">
      <c r="A152" s="15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18"/>
    </row>
    <row r="153" spans="1:39" s="19" customFormat="1">
      <c r="A153" s="15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18"/>
    </row>
    <row r="154" spans="1:39" s="19" customFormat="1">
      <c r="A154" s="15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18"/>
    </row>
    <row r="155" spans="1:39" s="19" customFormat="1">
      <c r="A155" s="2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1:39" s="19" customFormat="1">
      <c r="A156" s="2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1:39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9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9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9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2:38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2:38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2:38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2:38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2:38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2:38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2:38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2:38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2:38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2:38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2:38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2:38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2:38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2:38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2:38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2:38">
      <c r="J176" s="2"/>
    </row>
    <row r="178" spans="10:10">
      <c r="J178" s="2"/>
    </row>
    <row r="179" spans="10:10">
      <c r="J179" s="2"/>
    </row>
  </sheetData>
  <mergeCells count="5">
    <mergeCell ref="A80:E80"/>
    <mergeCell ref="B53:E53"/>
    <mergeCell ref="A106:E106"/>
    <mergeCell ref="A2:E2"/>
    <mergeCell ref="F53:H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18F0-9835-4C4D-8A21-22291DFE9561}">
  <dimension ref="A1:AN96"/>
  <sheetViews>
    <sheetView workbookViewId="0">
      <pane xSplit="1" topLeftCell="AA1" activePane="topRight" state="frozen"/>
      <selection pane="topRight" activeCell="AE14" sqref="AE14"/>
    </sheetView>
  </sheetViews>
  <sheetFormatPr defaultRowHeight="14.25"/>
  <cols>
    <col min="2" max="2" width="12.25" bestFit="1" customWidth="1"/>
    <col min="3" max="4" width="7.375" customWidth="1"/>
    <col min="5" max="5" width="7.125" customWidth="1"/>
    <col min="15" max="16" width="7.625" customWidth="1"/>
    <col min="20" max="20" width="12.625" customWidth="1"/>
    <col min="21" max="21" width="9.625" customWidth="1"/>
    <col min="34" max="34" width="6.875" customWidth="1"/>
    <col min="35" max="35" width="7.75" customWidth="1"/>
  </cols>
  <sheetData>
    <row r="1" spans="1:40" s="1" customFormat="1" ht="15">
      <c r="A1" s="1" t="s">
        <v>1</v>
      </c>
      <c r="B1" s="32">
        <v>3</v>
      </c>
      <c r="C1" s="32">
        <v>4</v>
      </c>
      <c r="D1" s="32">
        <v>5</v>
      </c>
      <c r="E1" s="32">
        <v>6</v>
      </c>
      <c r="F1" s="32">
        <v>7</v>
      </c>
      <c r="G1" s="32">
        <v>8</v>
      </c>
      <c r="H1" s="32">
        <v>9</v>
      </c>
      <c r="I1" s="32">
        <v>14</v>
      </c>
      <c r="J1" s="32">
        <v>17</v>
      </c>
      <c r="K1" s="32">
        <v>18</v>
      </c>
      <c r="L1" s="32">
        <v>19</v>
      </c>
      <c r="M1" s="32">
        <v>21</v>
      </c>
      <c r="N1" s="32">
        <v>22</v>
      </c>
      <c r="O1" s="32">
        <v>23</v>
      </c>
      <c r="P1" s="32">
        <v>25</v>
      </c>
      <c r="Q1" s="32">
        <v>28</v>
      </c>
      <c r="R1" s="32">
        <v>29</v>
      </c>
      <c r="S1" s="32">
        <v>34</v>
      </c>
      <c r="T1" s="31">
        <v>41</v>
      </c>
      <c r="U1" s="32">
        <v>42</v>
      </c>
      <c r="V1" s="32">
        <v>50</v>
      </c>
      <c r="W1" s="32">
        <v>52</v>
      </c>
      <c r="X1" s="32">
        <v>55</v>
      </c>
      <c r="Y1" s="32">
        <v>56</v>
      </c>
      <c r="Z1" s="32">
        <v>64</v>
      </c>
      <c r="AA1" s="32">
        <v>70</v>
      </c>
      <c r="AB1" s="32">
        <v>71</v>
      </c>
      <c r="AC1" s="32">
        <v>72</v>
      </c>
      <c r="AD1" s="32">
        <v>75</v>
      </c>
      <c r="AE1" s="32">
        <v>76</v>
      </c>
      <c r="AF1" s="32">
        <v>77</v>
      </c>
      <c r="AG1" s="32">
        <v>79</v>
      </c>
      <c r="AH1" s="31">
        <v>84</v>
      </c>
      <c r="AI1" s="31">
        <v>86</v>
      </c>
      <c r="AJ1" s="32">
        <v>93</v>
      </c>
      <c r="AK1" s="32">
        <v>96</v>
      </c>
      <c r="AL1" s="1">
        <v>97</v>
      </c>
      <c r="AM1" s="1" t="s">
        <v>2</v>
      </c>
    </row>
    <row r="2" spans="1:40" ht="15">
      <c r="A2" s="1" t="s">
        <v>0</v>
      </c>
    </row>
    <row r="3" spans="1:40">
      <c r="A3" s="23">
        <v>44197</v>
      </c>
      <c r="B3" s="2">
        <f>'UPT-Weekday'!B3+'UPT-SatSun'!B3</f>
        <v>9964.2999999999993</v>
      </c>
      <c r="C3" s="2">
        <f>'UPT-Weekday'!C3+'UPT-SatSun'!C3</f>
        <v>8207.7099999999991</v>
      </c>
      <c r="D3" s="2">
        <f>'UPT-Weekday'!D3+'UPT-SatSun'!D3</f>
        <v>10388.6</v>
      </c>
      <c r="E3" s="2">
        <f>'UPT-Weekday'!E3+'UPT-SatSun'!E3</f>
        <v>4966.0600000000004</v>
      </c>
      <c r="F3" s="2">
        <f>'UPT-Weekday'!F3+'UPT-SatSun'!F3</f>
        <v>11448.369999999999</v>
      </c>
      <c r="G3" s="2">
        <f>'UPT-Weekday'!G3+'UPT-SatSun'!G3</f>
        <v>10151.310000000001</v>
      </c>
      <c r="H3" s="2">
        <f>'UPT-Weekday'!H3+'UPT-SatSun'!H3</f>
        <v>3382.43</v>
      </c>
      <c r="I3" s="2">
        <f>'UPT-Weekday'!I3+'UPT-SatSun'!I3</f>
        <v>5169.16</v>
      </c>
      <c r="J3" s="2">
        <f>'UPT-Weekday'!J3+'UPT-SatSun'!J3</f>
        <v>4648.33</v>
      </c>
      <c r="K3" s="2">
        <f>'UPT-Weekday'!K3+'UPT-SatSun'!K3</f>
        <v>4215.97</v>
      </c>
      <c r="L3" s="2">
        <f>'UPT-Weekday'!L3+'UPT-SatSun'!L3</f>
        <v>8710.4600000000009</v>
      </c>
      <c r="M3" s="2">
        <f>'UPT-Weekday'!M3+'UPT-SatSun'!M3</f>
        <v>1542.41</v>
      </c>
      <c r="N3" s="2">
        <f>'UPT-Weekday'!N3+'UPT-SatSun'!N3</f>
        <v>20816.419999999998</v>
      </c>
      <c r="O3" s="2">
        <f>'UPT-Weekday'!O3+'UPT-SatSun'!O3</f>
        <v>22184.87</v>
      </c>
      <c r="P3" s="2">
        <f>'UPT-Weekday'!P3+'UPT-SatSun'!P3</f>
        <v>2197.9700000000003</v>
      </c>
      <c r="Q3" s="2">
        <f>'UPT-Weekday'!Q3+'UPT-SatSun'!Q3</f>
        <v>2875.67</v>
      </c>
      <c r="R3" s="2">
        <f>'UPT-Weekday'!R3+'UPT-SatSun'!R3</f>
        <v>9036.24</v>
      </c>
      <c r="S3" s="2">
        <f>'UPT-Weekday'!S3+'UPT-SatSun'!S3</f>
        <v>2790.2</v>
      </c>
      <c r="T3" s="44">
        <f>'UPT-Weekday'!T3+'UPT-SatSun'!T3</f>
        <v>0</v>
      </c>
      <c r="U3" s="2">
        <f>'UPT-Weekday'!U3+'UPT-SatSun'!U3</f>
        <v>4099.33</v>
      </c>
      <c r="V3" s="2">
        <f>'UPT-Weekday'!V3+'UPT-SatSun'!V3</f>
        <v>23946.47</v>
      </c>
      <c r="W3" s="2">
        <f>'UPT-Weekday'!W3+'UPT-SatSun'!W3</f>
        <v>34690.01</v>
      </c>
      <c r="X3" s="2">
        <f>'UPT-Weekday'!X3+'UPT-SatSun'!X3</f>
        <v>45566.270000000004</v>
      </c>
      <c r="Y3" s="2">
        <f>'UPT-Weekday'!Y3+'UPT-SatSun'!Y3</f>
        <v>48605.84</v>
      </c>
      <c r="Z3" s="2">
        <f>'UPT-Weekday'!Z3+'UPT-SatSun'!Z3</f>
        <v>0</v>
      </c>
      <c r="AA3" s="2">
        <f>'UPT-Weekday'!AA3+'UPT-SatSun'!AA3</f>
        <v>0</v>
      </c>
      <c r="AB3" s="2">
        <f>'UPT-Weekday'!AB3+'UPT-SatSun'!AB3</f>
        <v>0</v>
      </c>
      <c r="AC3" s="2">
        <f>'UPT-Weekday'!AC3+'UPT-SatSun'!AC3</f>
        <v>612.34</v>
      </c>
      <c r="AD3" s="2">
        <f>'UPT-Weekday'!AD3+'UPT-SatSun'!AD3</f>
        <v>0</v>
      </c>
      <c r="AE3" s="2">
        <f>'UPT-Weekday'!AE3+'UPT-SatSun'!AE3</f>
        <v>4449.24</v>
      </c>
      <c r="AF3" s="2">
        <f>'UPT-Weekday'!AF3+'UPT-SatSun'!AF3</f>
        <v>817.45</v>
      </c>
      <c r="AG3" s="2">
        <f>'UPT-Weekday'!AG3+'UPT-SatSun'!AG3</f>
        <v>0</v>
      </c>
      <c r="AH3" s="44">
        <f>'UPT-Weekday'!AH3+'UPT-SatSun'!AH3</f>
        <v>0</v>
      </c>
      <c r="AI3" s="44">
        <f>'UPT-Weekday'!AI3+'UPT-SatSun'!AI3</f>
        <v>0</v>
      </c>
      <c r="AJ3" s="2">
        <f>'UPT-Weekday'!AJ3+'UPT-SatSun'!AJ3</f>
        <v>1275</v>
      </c>
      <c r="AK3" s="2">
        <f>'UPT-Weekday'!AK3+'UPT-SatSun'!AK3</f>
        <v>720</v>
      </c>
      <c r="AL3" s="2">
        <f>'UPT-Weekday'!AL3+'UPT-SatSun'!AL3</f>
        <v>0</v>
      </c>
      <c r="AM3" s="2">
        <f>AVERAGE(B3:AL3)</f>
        <v>8310.2278378378396</v>
      </c>
      <c r="AN3" s="2"/>
    </row>
    <row r="4" spans="1:40">
      <c r="A4" s="23">
        <v>44228</v>
      </c>
      <c r="B4" s="2">
        <f>'UPT-Weekday'!B4+'UPT-SatSun'!B4</f>
        <v>9251</v>
      </c>
      <c r="C4" s="2">
        <f>'UPT-Weekday'!C4+'UPT-SatSun'!C4</f>
        <v>6258</v>
      </c>
      <c r="D4" s="2">
        <f>'UPT-Weekday'!D4+'UPT-SatSun'!D4</f>
        <v>8179</v>
      </c>
      <c r="E4" s="2">
        <f>'UPT-Weekday'!E4+'UPT-SatSun'!E4</f>
        <v>3925</v>
      </c>
      <c r="F4" s="2">
        <f>'UPT-Weekday'!F4+'UPT-SatSun'!F4</f>
        <v>10433</v>
      </c>
      <c r="G4" s="2">
        <f>'UPT-Weekday'!G4+'UPT-SatSun'!G4</f>
        <v>8059</v>
      </c>
      <c r="H4" s="2">
        <f>'UPT-Weekday'!H4+'UPT-SatSun'!H4</f>
        <v>2618</v>
      </c>
      <c r="I4" s="2">
        <f>'UPT-Weekday'!I4+'UPT-SatSun'!I4</f>
        <v>3505</v>
      </c>
      <c r="J4" s="2">
        <f>'UPT-Weekday'!J4+'UPT-SatSun'!J4</f>
        <v>4255</v>
      </c>
      <c r="K4" s="2">
        <f>'UPT-Weekday'!K4+'UPT-SatSun'!K4</f>
        <v>3414</v>
      </c>
      <c r="L4" s="2">
        <f>'UPT-Weekday'!L4+'UPT-SatSun'!L4</f>
        <v>6382</v>
      </c>
      <c r="M4" s="2">
        <f>'UPT-Weekday'!M4+'UPT-SatSun'!M4</f>
        <v>1119</v>
      </c>
      <c r="N4" s="2">
        <f>'UPT-Weekday'!N4+'UPT-SatSun'!N4</f>
        <v>17605</v>
      </c>
      <c r="O4" s="2">
        <f>'UPT-Weekday'!O4+'UPT-SatSun'!O4</f>
        <v>19623</v>
      </c>
      <c r="P4" s="2">
        <f>'UPT-Weekday'!P4+'UPT-SatSun'!P4</f>
        <v>1836</v>
      </c>
      <c r="Q4" s="2">
        <f>'UPT-Weekday'!Q4+'UPT-SatSun'!Q4</f>
        <v>2209</v>
      </c>
      <c r="R4" s="2">
        <f>'UPT-Weekday'!R4+'UPT-SatSun'!R4</f>
        <v>6095</v>
      </c>
      <c r="S4" s="2">
        <f>'UPT-Weekday'!S4+'UPT-SatSun'!S4</f>
        <v>1940</v>
      </c>
      <c r="T4" s="44">
        <f>'UPT-Weekday'!T4+'UPT-SatSun'!T4</f>
        <v>0</v>
      </c>
      <c r="U4" s="2">
        <f>'UPT-Weekday'!U4+'UPT-SatSun'!U4</f>
        <v>3011</v>
      </c>
      <c r="V4" s="2">
        <f>'UPT-Weekday'!V4+'UPT-SatSun'!V4</f>
        <v>20832</v>
      </c>
      <c r="W4" s="2">
        <f>'UPT-Weekday'!W4+'UPT-SatSun'!W4</f>
        <v>30585</v>
      </c>
      <c r="X4" s="2">
        <f>'UPT-Weekday'!X4+'UPT-SatSun'!X4</f>
        <v>40498</v>
      </c>
      <c r="Y4" s="2">
        <f>'UPT-Weekday'!Y4+'UPT-SatSun'!Y4</f>
        <v>41778</v>
      </c>
      <c r="Z4" s="2">
        <f>'UPT-Weekday'!Z4+'UPT-SatSun'!Z4</f>
        <v>0</v>
      </c>
      <c r="AA4" s="2">
        <f>'UPT-Weekday'!AA4+'UPT-SatSun'!AA4</f>
        <v>0</v>
      </c>
      <c r="AB4" s="2">
        <f>'UPT-Weekday'!AB4+'UPT-SatSun'!AB4</f>
        <v>0</v>
      </c>
      <c r="AC4" s="2">
        <f>'UPT-Weekday'!AC4+'UPT-SatSun'!AC4</f>
        <v>423</v>
      </c>
      <c r="AD4" s="2">
        <f>'UPT-Weekday'!AD4+'UPT-SatSun'!AD4</f>
        <v>0</v>
      </c>
      <c r="AE4" s="2">
        <f>'UPT-Weekday'!AE4+'UPT-SatSun'!AE4</f>
        <v>3419</v>
      </c>
      <c r="AF4" s="2">
        <f>'UPT-Weekday'!AF4+'UPT-SatSun'!AF4</f>
        <v>624</v>
      </c>
      <c r="AG4" s="2">
        <f>'UPT-Weekday'!AG4+'UPT-SatSun'!AG4</f>
        <v>0</v>
      </c>
      <c r="AH4" s="44">
        <f>'UPT-Weekday'!AH4+'UPT-SatSun'!AH4</f>
        <v>0</v>
      </c>
      <c r="AI4" s="44">
        <f>'UPT-Weekday'!AI4+'UPT-SatSun'!AI4</f>
        <v>0</v>
      </c>
      <c r="AJ4" s="2">
        <f>'UPT-Weekday'!AJ4+'UPT-SatSun'!AJ4</f>
        <v>1180</v>
      </c>
      <c r="AK4" s="2">
        <f>'UPT-Weekday'!AK4+'UPT-SatSun'!AK4</f>
        <v>647</v>
      </c>
      <c r="AL4" s="2">
        <f>'UPT-Weekday'!AL4+'UPT-SatSun'!AL4</f>
        <v>0</v>
      </c>
      <c r="AM4" s="2">
        <f t="shared" ref="AM4:AM50" si="0">AVERAGE(B4:AL4)</f>
        <v>7019</v>
      </c>
      <c r="AN4" s="2"/>
    </row>
    <row r="5" spans="1:40">
      <c r="A5" s="23">
        <v>44256</v>
      </c>
      <c r="B5" s="2">
        <f>'UPT-Weekday'!B5+'UPT-SatSun'!B5</f>
        <v>12295</v>
      </c>
      <c r="C5" s="2">
        <f>'UPT-Weekday'!C5+'UPT-SatSun'!C5</f>
        <v>9559</v>
      </c>
      <c r="D5" s="2">
        <f>'UPT-Weekday'!D5+'UPT-SatSun'!D5</f>
        <v>12953</v>
      </c>
      <c r="E5" s="2">
        <f>'UPT-Weekday'!E5+'UPT-SatSun'!E5</f>
        <v>6392</v>
      </c>
      <c r="F5" s="2">
        <f>'UPT-Weekday'!F5+'UPT-SatSun'!F5</f>
        <v>14331</v>
      </c>
      <c r="G5" s="2">
        <f>'UPT-Weekday'!G5+'UPT-SatSun'!G5</f>
        <v>11462</v>
      </c>
      <c r="H5" s="2">
        <f>'UPT-Weekday'!H5+'UPT-SatSun'!H5</f>
        <v>3476</v>
      </c>
      <c r="I5" s="2">
        <f>'UPT-Weekday'!I5+'UPT-SatSun'!I5</f>
        <v>5222</v>
      </c>
      <c r="J5" s="2">
        <f>'UPT-Weekday'!J5+'UPT-SatSun'!J5</f>
        <v>6199</v>
      </c>
      <c r="K5" s="2">
        <f>'UPT-Weekday'!K5+'UPT-SatSun'!K5</f>
        <v>4450</v>
      </c>
      <c r="L5" s="2">
        <f>'UPT-Weekday'!L5+'UPT-SatSun'!L5</f>
        <v>10209</v>
      </c>
      <c r="M5" s="2">
        <f>'UPT-Weekday'!M5+'UPT-SatSun'!M5</f>
        <v>1765</v>
      </c>
      <c r="N5" s="2">
        <f>'UPT-Weekday'!N5+'UPT-SatSun'!N5</f>
        <v>22424</v>
      </c>
      <c r="O5" s="2">
        <f>'UPT-Weekday'!O5+'UPT-SatSun'!O5</f>
        <v>25262</v>
      </c>
      <c r="P5" s="2">
        <f>'UPT-Weekday'!P5+'UPT-SatSun'!P5</f>
        <v>2792</v>
      </c>
      <c r="Q5" s="2">
        <f>'UPT-Weekday'!Q5+'UPT-SatSun'!Q5</f>
        <v>2841</v>
      </c>
      <c r="R5" s="2">
        <f>'UPT-Weekday'!R5+'UPT-SatSun'!R5</f>
        <v>8616</v>
      </c>
      <c r="S5" s="2">
        <f>'UPT-Weekday'!S5+'UPT-SatSun'!S5</f>
        <v>3334</v>
      </c>
      <c r="T5" s="44">
        <f>'UPT-Weekday'!T5+'UPT-SatSun'!T5</f>
        <v>0</v>
      </c>
      <c r="U5" s="2">
        <f>'UPT-Weekday'!U5+'UPT-SatSun'!U5</f>
        <v>4250</v>
      </c>
      <c r="V5" s="2">
        <f>'UPT-Weekday'!V5+'UPT-SatSun'!V5</f>
        <v>27056</v>
      </c>
      <c r="W5" s="2">
        <f>'UPT-Weekday'!W5+'UPT-SatSun'!W5</f>
        <v>37268</v>
      </c>
      <c r="X5" s="2">
        <f>'UPT-Weekday'!X5+'UPT-SatSun'!X5</f>
        <v>54106</v>
      </c>
      <c r="Y5" s="2">
        <f>'UPT-Weekday'!Y5+'UPT-SatSun'!Y5</f>
        <v>54995</v>
      </c>
      <c r="Z5" s="2">
        <f>'UPT-Weekday'!Z5+'UPT-SatSun'!Z5</f>
        <v>0</v>
      </c>
      <c r="AA5" s="2">
        <f>'UPT-Weekday'!AA5+'UPT-SatSun'!AA5</f>
        <v>0</v>
      </c>
      <c r="AB5" s="2">
        <f>'UPT-Weekday'!AB5+'UPT-SatSun'!AB5</f>
        <v>0</v>
      </c>
      <c r="AC5" s="2">
        <f>'UPT-Weekday'!AC5+'UPT-SatSun'!AC5</f>
        <v>559</v>
      </c>
      <c r="AD5" s="2">
        <f>'UPT-Weekday'!AD5+'UPT-SatSun'!AD5</f>
        <v>0</v>
      </c>
      <c r="AE5" s="2">
        <f>'UPT-Weekday'!AE5+'UPT-SatSun'!AE5</f>
        <v>5226</v>
      </c>
      <c r="AF5" s="2">
        <f>'UPT-Weekday'!AF5+'UPT-SatSun'!AF5</f>
        <v>812</v>
      </c>
      <c r="AG5" s="2">
        <f>'UPT-Weekday'!AG5+'UPT-SatSun'!AG5</f>
        <v>0</v>
      </c>
      <c r="AH5" s="44">
        <f>'UPT-Weekday'!AH5+'UPT-SatSun'!AH5</f>
        <v>0</v>
      </c>
      <c r="AI5" s="44">
        <f>'UPT-Weekday'!AI5+'UPT-SatSun'!AI5</f>
        <v>0</v>
      </c>
      <c r="AJ5" s="2">
        <f>'UPT-Weekday'!AJ5+'UPT-SatSun'!AJ5</f>
        <v>1602</v>
      </c>
      <c r="AK5" s="2">
        <f>'UPT-Weekday'!AK5+'UPT-SatSun'!AK5</f>
        <v>914</v>
      </c>
      <c r="AL5" s="2">
        <f>'UPT-Weekday'!AL5+'UPT-SatSun'!AL5</f>
        <v>0</v>
      </c>
      <c r="AM5" s="2">
        <f t="shared" si="0"/>
        <v>9469.45945945946</v>
      </c>
      <c r="AN5" s="2"/>
    </row>
    <row r="6" spans="1:40">
      <c r="A6" s="23">
        <v>44287</v>
      </c>
      <c r="B6" s="2">
        <f>'UPT-Weekday'!B6+'UPT-SatSun'!B6</f>
        <v>13037</v>
      </c>
      <c r="C6" s="2">
        <f>'UPT-Weekday'!C6+'UPT-SatSun'!C6</f>
        <v>10990</v>
      </c>
      <c r="D6" s="2">
        <f>'UPT-Weekday'!D6+'UPT-SatSun'!D6</f>
        <v>14365</v>
      </c>
      <c r="E6" s="2">
        <f>'UPT-Weekday'!E6+'UPT-SatSun'!E6</f>
        <v>7449</v>
      </c>
      <c r="F6" s="2">
        <f>'UPT-Weekday'!F6+'UPT-SatSun'!F6</f>
        <v>17396</v>
      </c>
      <c r="G6" s="2">
        <f>'UPT-Weekday'!G6+'UPT-SatSun'!G6</f>
        <v>11936</v>
      </c>
      <c r="H6" s="2">
        <f>'UPT-Weekday'!H6+'UPT-SatSun'!H6</f>
        <v>3860</v>
      </c>
      <c r="I6" s="2">
        <f>'UPT-Weekday'!I6+'UPT-SatSun'!I6</f>
        <v>5525</v>
      </c>
      <c r="J6" s="2">
        <f>'UPT-Weekday'!J6+'UPT-SatSun'!J6</f>
        <v>6954</v>
      </c>
      <c r="K6" s="2">
        <f>'UPT-Weekday'!K6+'UPT-SatSun'!K6</f>
        <v>5369</v>
      </c>
      <c r="L6" s="2">
        <f>'UPT-Weekday'!L6+'UPT-SatSun'!L6</f>
        <v>10643</v>
      </c>
      <c r="M6" s="2">
        <f>'UPT-Weekday'!M6+'UPT-SatSun'!M6</f>
        <v>1672</v>
      </c>
      <c r="N6" s="2">
        <f>'UPT-Weekday'!N6+'UPT-SatSun'!N6</f>
        <v>24377</v>
      </c>
      <c r="O6" s="2">
        <f>'UPT-Weekday'!O6+'UPT-SatSun'!O6</f>
        <v>29262</v>
      </c>
      <c r="P6" s="2">
        <f>'UPT-Weekday'!P6+'UPT-SatSun'!P6</f>
        <v>2301</v>
      </c>
      <c r="Q6" s="2">
        <f>'UPT-Weekday'!Q6+'UPT-SatSun'!Q6</f>
        <v>3173</v>
      </c>
      <c r="R6" s="2">
        <f>'UPT-Weekday'!R6+'UPT-SatSun'!R6</f>
        <v>8958</v>
      </c>
      <c r="S6" s="2">
        <f>'UPT-Weekday'!S6+'UPT-SatSun'!S6</f>
        <v>3461</v>
      </c>
      <c r="T6" s="2">
        <f>'UPT-Weekday'!T6+'UPT-SatSun'!T6</f>
        <v>215</v>
      </c>
      <c r="U6" s="2">
        <f>'UPT-Weekday'!U6+'UPT-SatSun'!U6</f>
        <v>4534</v>
      </c>
      <c r="V6" s="2">
        <f>'UPT-Weekday'!V6+'UPT-SatSun'!V6</f>
        <v>30247</v>
      </c>
      <c r="W6" s="2">
        <f>'UPT-Weekday'!W6+'UPT-SatSun'!W6</f>
        <v>41413</v>
      </c>
      <c r="X6" s="2">
        <f>'UPT-Weekday'!X6+'UPT-SatSun'!X6</f>
        <v>59838</v>
      </c>
      <c r="Y6" s="2">
        <f>'UPT-Weekday'!Y6+'UPT-SatSun'!Y6</f>
        <v>57044</v>
      </c>
      <c r="Z6" s="2">
        <f>'UPT-Weekday'!Z6+'UPT-SatSun'!Z6</f>
        <v>0</v>
      </c>
      <c r="AA6" s="2">
        <f>'UPT-Weekday'!AA6+'UPT-SatSun'!AA6</f>
        <v>0</v>
      </c>
      <c r="AB6" s="2">
        <f>'UPT-Weekday'!AB6+'UPT-SatSun'!AB6</f>
        <v>0</v>
      </c>
      <c r="AC6" s="2">
        <f>'UPT-Weekday'!AC6+'UPT-SatSun'!AC6</f>
        <v>188</v>
      </c>
      <c r="AD6" s="2">
        <f>'UPT-Weekday'!AD6+'UPT-SatSun'!AD6</f>
        <v>0</v>
      </c>
      <c r="AE6" s="2">
        <f>'UPT-Weekday'!AE6+'UPT-SatSun'!AE6</f>
        <v>5479</v>
      </c>
      <c r="AF6" s="2">
        <f>'UPT-Weekday'!AF6+'UPT-SatSun'!AF6</f>
        <v>1193</v>
      </c>
      <c r="AG6" s="2">
        <f>'UPT-Weekday'!AG6+'UPT-SatSun'!AG6</f>
        <v>0</v>
      </c>
      <c r="AH6" s="2">
        <f>'UPT-Weekday'!AH6+'UPT-SatSun'!AH6</f>
        <v>356</v>
      </c>
      <c r="AI6" s="2">
        <f>'UPT-Weekday'!AI6+'UPT-SatSun'!AI6</f>
        <v>167</v>
      </c>
      <c r="AJ6" s="2">
        <f>'UPT-Weekday'!AJ6+'UPT-SatSun'!AJ6</f>
        <v>1673</v>
      </c>
      <c r="AK6" s="2">
        <f>'UPT-Weekday'!AK6+'UPT-SatSun'!AK6</f>
        <v>246</v>
      </c>
      <c r="AL6" s="2">
        <f>'UPT-Weekday'!AL6+'UPT-SatSun'!AL6</f>
        <v>0</v>
      </c>
      <c r="AM6" s="2">
        <f t="shared" si="0"/>
        <v>10360.027027027027</v>
      </c>
      <c r="AN6" s="2"/>
    </row>
    <row r="7" spans="1:40">
      <c r="A7" s="23">
        <v>44317</v>
      </c>
      <c r="B7" s="2">
        <f>'UPT-Weekday'!B7+'UPT-SatSun'!B7</f>
        <v>12658</v>
      </c>
      <c r="C7" s="2">
        <f>'UPT-Weekday'!C7+'UPT-SatSun'!C7</f>
        <v>10568</v>
      </c>
      <c r="D7" s="2">
        <f>'UPT-Weekday'!D7+'UPT-SatSun'!D7</f>
        <v>14180</v>
      </c>
      <c r="E7" s="2">
        <f>'UPT-Weekday'!E7+'UPT-SatSun'!E7</f>
        <v>7517</v>
      </c>
      <c r="F7" s="2">
        <f>'UPT-Weekday'!F7+'UPT-SatSun'!F7</f>
        <v>17337</v>
      </c>
      <c r="G7" s="2">
        <f>'UPT-Weekday'!G7+'UPT-SatSun'!G7</f>
        <v>11498</v>
      </c>
      <c r="H7" s="2">
        <f>'UPT-Weekday'!H7+'UPT-SatSun'!H7</f>
        <v>3353</v>
      </c>
      <c r="I7" s="2">
        <f>'UPT-Weekday'!I7+'UPT-SatSun'!I7</f>
        <v>5471</v>
      </c>
      <c r="J7" s="2">
        <f>'UPT-Weekday'!J7+'UPT-SatSun'!J7</f>
        <v>6559</v>
      </c>
      <c r="K7" s="2">
        <f>'UPT-Weekday'!K7+'UPT-SatSun'!K7</f>
        <v>5300</v>
      </c>
      <c r="L7" s="2">
        <f>'UPT-Weekday'!L7+'UPT-SatSun'!L7</f>
        <v>9604</v>
      </c>
      <c r="M7" s="2">
        <f>'UPT-Weekday'!M7+'UPT-SatSun'!M7</f>
        <v>1296</v>
      </c>
      <c r="N7" s="2">
        <f>'UPT-Weekday'!N7+'UPT-SatSun'!N7</f>
        <v>23601</v>
      </c>
      <c r="O7" s="2">
        <f>'UPT-Weekday'!O7+'UPT-SatSun'!O7</f>
        <v>31612</v>
      </c>
      <c r="P7" s="2">
        <f>'UPT-Weekday'!P7+'UPT-SatSun'!P7</f>
        <v>1643</v>
      </c>
      <c r="Q7" s="2">
        <f>'UPT-Weekday'!Q7+'UPT-SatSun'!Q7</f>
        <v>3273</v>
      </c>
      <c r="R7" s="2">
        <f>'UPT-Weekday'!R7+'UPT-SatSun'!R7</f>
        <v>7900</v>
      </c>
      <c r="S7" s="2">
        <f>'UPT-Weekday'!S7+'UPT-SatSun'!S7</f>
        <v>3214</v>
      </c>
      <c r="T7" s="2">
        <f>'UPT-Weekday'!T7+'UPT-SatSun'!T7</f>
        <v>292</v>
      </c>
      <c r="U7" s="2">
        <f>'UPT-Weekday'!U7+'UPT-SatSun'!U7</f>
        <v>4518</v>
      </c>
      <c r="V7" s="2">
        <f>'UPT-Weekday'!V7+'UPT-SatSun'!V7</f>
        <v>27897</v>
      </c>
      <c r="W7" s="2">
        <f>'UPT-Weekday'!W7+'UPT-SatSun'!W7</f>
        <v>41976</v>
      </c>
      <c r="X7" s="2">
        <f>'UPT-Weekday'!X7+'UPT-SatSun'!X7</f>
        <v>60685</v>
      </c>
      <c r="Y7" s="2">
        <f>'UPT-Weekday'!Y7+'UPT-SatSun'!Y7</f>
        <v>55973</v>
      </c>
      <c r="Z7" s="2">
        <f>'UPT-Weekday'!Z7+'UPT-SatSun'!Z7</f>
        <v>0</v>
      </c>
      <c r="AA7" s="2">
        <f>'UPT-Weekday'!AA7+'UPT-SatSun'!AA7</f>
        <v>0</v>
      </c>
      <c r="AB7" s="2">
        <f>'UPT-Weekday'!AB7+'UPT-SatSun'!AB7</f>
        <v>0</v>
      </c>
      <c r="AC7" s="2">
        <f>'UPT-Weekday'!AC7+'UPT-SatSun'!AC7</f>
        <v>0</v>
      </c>
      <c r="AD7" s="2">
        <f>'UPT-Weekday'!AD7+'UPT-SatSun'!AD7</f>
        <v>0</v>
      </c>
      <c r="AE7" s="2">
        <f>'UPT-Weekday'!AE7+'UPT-SatSun'!AE7</f>
        <v>5969</v>
      </c>
      <c r="AF7" s="2">
        <f>'UPT-Weekday'!AF7+'UPT-SatSun'!AF7</f>
        <v>1514</v>
      </c>
      <c r="AG7" s="2">
        <f>'UPT-Weekday'!AG7+'UPT-SatSun'!AG7</f>
        <v>0</v>
      </c>
      <c r="AH7" s="2">
        <f>'UPT-Weekday'!AH7+'UPT-SatSun'!AH7</f>
        <v>566</v>
      </c>
      <c r="AI7" s="2">
        <f>'UPT-Weekday'!AI7+'UPT-SatSun'!AI7</f>
        <v>281</v>
      </c>
      <c r="AJ7" s="2">
        <f>'UPT-Weekday'!AJ7+'UPT-SatSun'!AJ7</f>
        <v>1406</v>
      </c>
      <c r="AK7" s="2">
        <f>'UPT-Weekday'!AK7+'UPT-SatSun'!AK7</f>
        <v>0</v>
      </c>
      <c r="AL7" s="2">
        <f>'UPT-Weekday'!AL7+'UPT-SatSun'!AL7</f>
        <v>0</v>
      </c>
      <c r="AM7" s="2">
        <f t="shared" si="0"/>
        <v>10207.054054054053</v>
      </c>
      <c r="AN7" s="2"/>
    </row>
    <row r="8" spans="1:40">
      <c r="A8" s="23">
        <v>44348</v>
      </c>
      <c r="B8" s="2">
        <f>'UPT-Weekday'!B8+'UPT-SatSun'!B8</f>
        <v>13235</v>
      </c>
      <c r="C8" s="2">
        <f>'UPT-Weekday'!C8+'UPT-SatSun'!C8</f>
        <v>10994</v>
      </c>
      <c r="D8" s="2">
        <f>'UPT-Weekday'!D8+'UPT-SatSun'!D8</f>
        <v>13901</v>
      </c>
      <c r="E8" s="2">
        <f>'UPT-Weekday'!E8+'UPT-SatSun'!E8</f>
        <v>7671</v>
      </c>
      <c r="F8" s="2">
        <f>'UPT-Weekday'!F8+'UPT-SatSun'!F8</f>
        <v>18424</v>
      </c>
      <c r="G8" s="2">
        <f>'UPT-Weekday'!G8+'UPT-SatSun'!G8</f>
        <v>12408</v>
      </c>
      <c r="H8" s="2">
        <f>'UPT-Weekday'!H8+'UPT-SatSun'!H8</f>
        <v>4010</v>
      </c>
      <c r="I8" s="2">
        <f>'UPT-Weekday'!I8+'UPT-SatSun'!I8</f>
        <v>5956</v>
      </c>
      <c r="J8" s="2">
        <f>'UPT-Weekday'!J8+'UPT-SatSun'!J8</f>
        <v>7512</v>
      </c>
      <c r="K8" s="2">
        <f>'UPT-Weekday'!K8+'UPT-SatSun'!K8</f>
        <v>5929</v>
      </c>
      <c r="L8" s="2">
        <f>'UPT-Weekday'!L8+'UPT-SatSun'!L8</f>
        <v>10823</v>
      </c>
      <c r="M8" s="2">
        <f>'UPT-Weekday'!M8+'UPT-SatSun'!M8</f>
        <v>1476</v>
      </c>
      <c r="N8" s="2">
        <f>'UPT-Weekday'!N8+'UPT-SatSun'!N8</f>
        <v>23873</v>
      </c>
      <c r="O8" s="2">
        <f>'UPT-Weekday'!O8+'UPT-SatSun'!O8</f>
        <v>32613</v>
      </c>
      <c r="P8" s="2">
        <f>'UPT-Weekday'!P8+'UPT-SatSun'!P8</f>
        <v>1700</v>
      </c>
      <c r="Q8" s="2">
        <f>'UPT-Weekday'!Q8+'UPT-SatSun'!Q8</f>
        <v>3522</v>
      </c>
      <c r="R8" s="2">
        <f>'UPT-Weekday'!R8+'UPT-SatSun'!R8</f>
        <v>8456</v>
      </c>
      <c r="S8" s="2">
        <f>'UPT-Weekday'!S8+'UPT-SatSun'!S8</f>
        <v>4511</v>
      </c>
      <c r="T8" s="2">
        <f>'UPT-Weekday'!T8+'UPT-SatSun'!T8</f>
        <v>338</v>
      </c>
      <c r="U8" s="2">
        <f>'UPT-Weekday'!U8+'UPT-SatSun'!U8</f>
        <v>4796</v>
      </c>
      <c r="V8" s="2">
        <f>'UPT-Weekday'!V8+'UPT-SatSun'!V8</f>
        <v>29289</v>
      </c>
      <c r="W8" s="2">
        <f>'UPT-Weekday'!W8+'UPT-SatSun'!W8</f>
        <v>44138</v>
      </c>
      <c r="X8" s="2">
        <f>'UPT-Weekday'!X8+'UPT-SatSun'!X8</f>
        <v>66601</v>
      </c>
      <c r="Y8" s="2">
        <f>'UPT-Weekday'!Y8+'UPT-SatSun'!Y8</f>
        <v>59277</v>
      </c>
      <c r="Z8" s="2">
        <f>'UPT-Weekday'!Z8+'UPT-SatSun'!Z8</f>
        <v>0</v>
      </c>
      <c r="AA8" s="2">
        <f>'UPT-Weekday'!AA8+'UPT-SatSun'!AA8</f>
        <v>0</v>
      </c>
      <c r="AB8" s="2">
        <f>'UPT-Weekday'!AB8+'UPT-SatSun'!AB8</f>
        <v>0</v>
      </c>
      <c r="AC8" s="2">
        <f>'UPT-Weekday'!AC8+'UPT-SatSun'!AC8</f>
        <v>0</v>
      </c>
      <c r="AD8" s="2">
        <f>'UPT-Weekday'!AD8+'UPT-SatSun'!AD8</f>
        <v>0</v>
      </c>
      <c r="AE8" s="2">
        <f>'UPT-Weekday'!AE8+'UPT-SatSun'!AE8</f>
        <v>6168</v>
      </c>
      <c r="AF8" s="2">
        <f>'UPT-Weekday'!AF8+'UPT-SatSun'!AF8</f>
        <v>2021</v>
      </c>
      <c r="AG8" s="2">
        <f>'UPT-Weekday'!AG8+'UPT-SatSun'!AG8</f>
        <v>0</v>
      </c>
      <c r="AH8" s="2">
        <f>'UPT-Weekday'!AH8+'UPT-SatSun'!AH8</f>
        <v>766</v>
      </c>
      <c r="AI8" s="2">
        <f>'UPT-Weekday'!AI8+'UPT-SatSun'!AI8</f>
        <v>405</v>
      </c>
      <c r="AJ8" s="2">
        <f>'UPT-Weekday'!AJ8+'UPT-SatSun'!AJ8</f>
        <v>1651</v>
      </c>
      <c r="AK8" s="2">
        <f>'UPT-Weekday'!AK8+'UPT-SatSun'!AK8</f>
        <v>0</v>
      </c>
      <c r="AL8" s="2">
        <f>'UPT-Weekday'!AL8+'UPT-SatSun'!AL8</f>
        <v>0</v>
      </c>
      <c r="AM8" s="2">
        <f t="shared" si="0"/>
        <v>10877.405405405405</v>
      </c>
      <c r="AN8" s="2"/>
    </row>
    <row r="9" spans="1:40">
      <c r="A9" s="23">
        <v>44378</v>
      </c>
      <c r="B9" s="2">
        <f>'UPT-Weekday'!B9+'UPT-SatSun'!B9</f>
        <v>13836</v>
      </c>
      <c r="C9" s="2">
        <f>'UPT-Weekday'!C9+'UPT-SatSun'!C9</f>
        <v>11599</v>
      </c>
      <c r="D9" s="2">
        <f>'UPT-Weekday'!D9+'UPT-SatSun'!D9</f>
        <v>14795</v>
      </c>
      <c r="E9" s="2">
        <f>'UPT-Weekday'!E9+'UPT-SatSun'!E9</f>
        <v>8378</v>
      </c>
      <c r="F9" s="2">
        <f>'UPT-Weekday'!F9+'UPT-SatSun'!F9</f>
        <v>19163</v>
      </c>
      <c r="G9" s="2">
        <f>'UPT-Weekday'!G9+'UPT-SatSun'!G9</f>
        <v>13182</v>
      </c>
      <c r="H9" s="2">
        <f>'UPT-Weekday'!H9+'UPT-SatSun'!H9</f>
        <v>3845</v>
      </c>
      <c r="I9" s="2">
        <f>'UPT-Weekday'!I9+'UPT-SatSun'!I9</f>
        <v>5640</v>
      </c>
      <c r="J9" s="2">
        <f>'UPT-Weekday'!J9+'UPT-SatSun'!J9</f>
        <v>7439</v>
      </c>
      <c r="K9" s="2">
        <f>'UPT-Weekday'!K9+'UPT-SatSun'!K9</f>
        <v>6469</v>
      </c>
      <c r="L9" s="2">
        <f>'UPT-Weekday'!L9+'UPT-SatSun'!L9</f>
        <v>11667</v>
      </c>
      <c r="M9" s="2">
        <f>'UPT-Weekday'!M9+'UPT-SatSun'!M9</f>
        <v>1365</v>
      </c>
      <c r="N9" s="2">
        <f>'UPT-Weekday'!N9+'UPT-SatSun'!N9</f>
        <v>24615</v>
      </c>
      <c r="O9" s="2">
        <f>'UPT-Weekday'!O9+'UPT-SatSun'!O9</f>
        <v>34387</v>
      </c>
      <c r="P9" s="2">
        <f>'UPT-Weekday'!P9+'UPT-SatSun'!P9</f>
        <v>1530</v>
      </c>
      <c r="Q9" s="2">
        <f>'UPT-Weekday'!Q9+'UPT-SatSun'!Q9</f>
        <v>3687</v>
      </c>
      <c r="R9" s="2">
        <f>'UPT-Weekday'!R9+'UPT-SatSun'!R9</f>
        <v>8953</v>
      </c>
      <c r="S9" s="2">
        <f>'UPT-Weekday'!S9+'UPT-SatSun'!S9</f>
        <v>5160</v>
      </c>
      <c r="T9" s="2">
        <f>'UPT-Weekday'!T9+'UPT-SatSun'!T9</f>
        <v>386</v>
      </c>
      <c r="U9" s="2">
        <f>'UPT-Weekday'!U9+'UPT-SatSun'!U9</f>
        <v>5048</v>
      </c>
      <c r="V9" s="2">
        <f>'UPT-Weekday'!V9+'UPT-SatSun'!V9</f>
        <v>31287</v>
      </c>
      <c r="W9" s="2">
        <f>'UPT-Weekday'!W9+'UPT-SatSun'!W9</f>
        <v>47518</v>
      </c>
      <c r="X9" s="2">
        <f>'UPT-Weekday'!X9+'UPT-SatSun'!X9</f>
        <v>76619</v>
      </c>
      <c r="Y9" s="2">
        <f>'UPT-Weekday'!Y9+'UPT-SatSun'!Y9</f>
        <v>62375</v>
      </c>
      <c r="Z9" s="2">
        <f>'UPT-Weekday'!Z9+'UPT-SatSun'!Z9</f>
        <v>0</v>
      </c>
      <c r="AA9" s="2">
        <f>'UPT-Weekday'!AA9+'UPT-SatSun'!AA9</f>
        <v>0</v>
      </c>
      <c r="AB9" s="2">
        <f>'UPT-Weekday'!AB9+'UPT-SatSun'!AB9</f>
        <v>0</v>
      </c>
      <c r="AC9" s="2">
        <f>'UPT-Weekday'!AC9+'UPT-SatSun'!AC9</f>
        <v>0</v>
      </c>
      <c r="AD9" s="2">
        <f>'UPT-Weekday'!AD9+'UPT-SatSun'!AD9</f>
        <v>0</v>
      </c>
      <c r="AE9" s="2">
        <f>'UPT-Weekday'!AE9+'UPT-SatSun'!AE9</f>
        <v>6154</v>
      </c>
      <c r="AF9" s="2">
        <f>'UPT-Weekday'!AF9+'UPT-SatSun'!AF9</f>
        <v>2157</v>
      </c>
      <c r="AG9" s="2">
        <f>'UPT-Weekday'!AG9+'UPT-SatSun'!AG9</f>
        <v>0</v>
      </c>
      <c r="AH9" s="2">
        <f>'UPT-Weekday'!AH9+'UPT-SatSun'!AH9</f>
        <v>815</v>
      </c>
      <c r="AI9" s="2">
        <f>'UPT-Weekday'!AI9+'UPT-SatSun'!AI9</f>
        <v>475</v>
      </c>
      <c r="AJ9" s="2">
        <f>'UPT-Weekday'!AJ9+'UPT-SatSun'!AJ9</f>
        <v>1646</v>
      </c>
      <c r="AK9" s="2">
        <f>'UPT-Weekday'!AK9+'UPT-SatSun'!AK9</f>
        <v>0</v>
      </c>
      <c r="AL9" s="2">
        <f>'UPT-Weekday'!AL9+'UPT-SatSun'!AL9</f>
        <v>0</v>
      </c>
      <c r="AM9" s="2">
        <f t="shared" si="0"/>
        <v>11626.756756756757</v>
      </c>
      <c r="AN9" s="2"/>
    </row>
    <row r="10" spans="1:40">
      <c r="A10" s="23">
        <v>44409</v>
      </c>
      <c r="B10" s="2">
        <f>'UPT-Weekday'!B10+'UPT-SatSun'!B10</f>
        <v>16267</v>
      </c>
      <c r="C10" s="2">
        <f>'UPT-Weekday'!C10+'UPT-SatSun'!C10</f>
        <v>13586</v>
      </c>
      <c r="D10" s="2">
        <f>'UPT-Weekday'!D10+'UPT-SatSun'!D10</f>
        <v>18729</v>
      </c>
      <c r="E10" s="2">
        <f>'UPT-Weekday'!E10+'UPT-SatSun'!E10</f>
        <v>9745</v>
      </c>
      <c r="F10" s="2">
        <f>'UPT-Weekday'!F10+'UPT-SatSun'!F10</f>
        <v>25241</v>
      </c>
      <c r="G10" s="2">
        <f>'UPT-Weekday'!G10+'UPT-SatSun'!G10</f>
        <v>14761</v>
      </c>
      <c r="H10" s="2">
        <f>'UPT-Weekday'!H10+'UPT-SatSun'!H10</f>
        <v>4039</v>
      </c>
      <c r="I10" s="2">
        <f>'UPT-Weekday'!I10+'UPT-SatSun'!I10</f>
        <v>6033</v>
      </c>
      <c r="J10" s="2">
        <f>'UPT-Weekday'!J10+'UPT-SatSun'!J10</f>
        <v>8359</v>
      </c>
      <c r="K10" s="2">
        <f>'UPT-Weekday'!K10+'UPT-SatSun'!K10</f>
        <v>7444</v>
      </c>
      <c r="L10" s="2">
        <f>'UPT-Weekday'!L10+'UPT-SatSun'!L10</f>
        <v>13307</v>
      </c>
      <c r="M10" s="2">
        <f>'UPT-Weekday'!M10+'UPT-SatSun'!M10</f>
        <v>1735</v>
      </c>
      <c r="N10" s="2">
        <f>'UPT-Weekday'!N10+'UPT-SatSun'!N10</f>
        <v>25330</v>
      </c>
      <c r="O10" s="2">
        <f>'UPT-Weekday'!O10+'UPT-SatSun'!O10</f>
        <v>37724</v>
      </c>
      <c r="P10" s="2">
        <f>'UPT-Weekday'!P10+'UPT-SatSun'!P10</f>
        <v>2164</v>
      </c>
      <c r="Q10" s="2">
        <f>'UPT-Weekday'!Q10+'UPT-SatSun'!Q10</f>
        <v>4106</v>
      </c>
      <c r="R10" s="2">
        <f>'UPT-Weekday'!R10+'UPT-SatSun'!R10</f>
        <v>9098</v>
      </c>
      <c r="S10" s="2">
        <f>'UPT-Weekday'!S10+'UPT-SatSun'!S10</f>
        <v>4876</v>
      </c>
      <c r="T10" s="2">
        <f>'UPT-Weekday'!T10+'UPT-SatSun'!T10</f>
        <v>844</v>
      </c>
      <c r="U10" s="2">
        <f>'UPT-Weekday'!U10+'UPT-SatSun'!U10</f>
        <v>5194</v>
      </c>
      <c r="V10" s="2">
        <f>'UPT-Weekday'!V10+'UPT-SatSun'!V10</f>
        <v>33985</v>
      </c>
      <c r="W10" s="2">
        <f>'UPT-Weekday'!W10+'UPT-SatSun'!W10</f>
        <v>51420</v>
      </c>
      <c r="X10" s="2">
        <f>'UPT-Weekday'!X10+'UPT-SatSun'!X10</f>
        <v>84285</v>
      </c>
      <c r="Y10" s="2">
        <f>'UPT-Weekday'!Y10+'UPT-SatSun'!Y10</f>
        <v>67532</v>
      </c>
      <c r="Z10" s="2">
        <f>'UPT-Weekday'!Z10+'UPT-SatSun'!Z10</f>
        <v>0</v>
      </c>
      <c r="AA10" s="2">
        <f>'UPT-Weekday'!AA10+'UPT-SatSun'!AA10</f>
        <v>0</v>
      </c>
      <c r="AB10" s="2">
        <f>'UPT-Weekday'!AB10+'UPT-SatSun'!AB10</f>
        <v>0</v>
      </c>
      <c r="AC10" s="2">
        <f>'UPT-Weekday'!AC10+'UPT-SatSun'!AC10</f>
        <v>0</v>
      </c>
      <c r="AD10" s="2">
        <f>'UPT-Weekday'!AD10+'UPT-SatSun'!AD10</f>
        <v>0</v>
      </c>
      <c r="AE10" s="2">
        <f>'UPT-Weekday'!AE10+'UPT-SatSun'!AE10</f>
        <v>6031</v>
      </c>
      <c r="AF10" s="2">
        <f>'UPT-Weekday'!AF10+'UPT-SatSun'!AF10</f>
        <v>2348</v>
      </c>
      <c r="AG10" s="2">
        <f>'UPT-Weekday'!AG10+'UPT-SatSun'!AG10</f>
        <v>0</v>
      </c>
      <c r="AH10" s="2">
        <f>'UPT-Weekday'!AH10+'UPT-SatSun'!AH10</f>
        <v>1094</v>
      </c>
      <c r="AI10" s="2">
        <f>'UPT-Weekday'!AI10+'UPT-SatSun'!AI10</f>
        <v>500</v>
      </c>
      <c r="AJ10" s="2">
        <f>'UPT-Weekday'!AJ10+'UPT-SatSun'!AJ10</f>
        <v>2047</v>
      </c>
      <c r="AK10" s="2">
        <f>'UPT-Weekday'!AK10+'UPT-SatSun'!AK10</f>
        <v>0</v>
      </c>
      <c r="AL10" s="2">
        <f>'UPT-Weekday'!AL10+'UPT-SatSun'!AL10</f>
        <v>0</v>
      </c>
      <c r="AM10" s="2">
        <f t="shared" si="0"/>
        <v>12914.162162162162</v>
      </c>
      <c r="AN10" s="2"/>
    </row>
    <row r="11" spans="1:40">
      <c r="A11" s="23">
        <v>44440</v>
      </c>
      <c r="B11" s="2">
        <f>'UPT-Weekday'!B11+'UPT-SatSun'!B11</f>
        <v>16751</v>
      </c>
      <c r="C11" s="2">
        <f>'UPT-Weekday'!C11+'UPT-SatSun'!C11</f>
        <v>13134</v>
      </c>
      <c r="D11" s="2">
        <f>'UPT-Weekday'!D11+'UPT-SatSun'!D11</f>
        <v>19817</v>
      </c>
      <c r="E11" s="2">
        <f>'UPT-Weekday'!E11+'UPT-SatSun'!E11</f>
        <v>9943</v>
      </c>
      <c r="F11" s="2">
        <f>'UPT-Weekday'!F11+'UPT-SatSun'!F11</f>
        <v>26884</v>
      </c>
      <c r="G11" s="2">
        <f>'UPT-Weekday'!G11+'UPT-SatSun'!G11</f>
        <v>14583</v>
      </c>
      <c r="H11" s="2">
        <f>'UPT-Weekday'!H11+'UPT-SatSun'!H11</f>
        <v>4158</v>
      </c>
      <c r="I11" s="2">
        <f>'UPT-Weekday'!I11+'UPT-SatSun'!I11</f>
        <v>5949</v>
      </c>
      <c r="J11" s="2">
        <f>'UPT-Weekday'!J11+'UPT-SatSun'!J11</f>
        <v>8845</v>
      </c>
      <c r="K11" s="2">
        <f>'UPT-Weekday'!K11+'UPT-SatSun'!K11</f>
        <v>7165</v>
      </c>
      <c r="L11" s="2">
        <f>'UPT-Weekday'!L11+'UPT-SatSun'!L11</f>
        <v>13897</v>
      </c>
      <c r="M11" s="2">
        <f>'UPT-Weekday'!M11+'UPT-SatSun'!M11</f>
        <v>1829</v>
      </c>
      <c r="N11" s="2">
        <f>'UPT-Weekday'!N11+'UPT-SatSun'!N11</f>
        <v>25119</v>
      </c>
      <c r="O11" s="2">
        <f>'UPT-Weekday'!O11+'UPT-SatSun'!O11</f>
        <v>39339</v>
      </c>
      <c r="P11" s="2">
        <f>'UPT-Weekday'!P11+'UPT-SatSun'!P11</f>
        <v>2410</v>
      </c>
      <c r="Q11" s="2">
        <f>'UPT-Weekday'!Q11+'UPT-SatSun'!Q11</f>
        <v>3963</v>
      </c>
      <c r="R11" s="2">
        <f>'UPT-Weekday'!R11+'UPT-SatSun'!R11</f>
        <v>9400</v>
      </c>
      <c r="S11" s="2">
        <f>'UPT-Weekday'!S11+'UPT-SatSun'!S11</f>
        <v>4235</v>
      </c>
      <c r="T11" s="2">
        <f>'UPT-Weekday'!T11+'UPT-SatSun'!T11</f>
        <v>1049</v>
      </c>
      <c r="U11" s="2">
        <f>'UPT-Weekday'!U11+'UPT-SatSun'!U11</f>
        <v>5242</v>
      </c>
      <c r="V11" s="2">
        <f>'UPT-Weekday'!V11+'UPT-SatSun'!V11</f>
        <v>36659</v>
      </c>
      <c r="W11" s="2">
        <f>'UPT-Weekday'!W11+'UPT-SatSun'!W11</f>
        <v>51079</v>
      </c>
      <c r="X11" s="2">
        <f>'UPT-Weekday'!X11+'UPT-SatSun'!X11</f>
        <v>85434</v>
      </c>
      <c r="Y11" s="2">
        <f>'UPT-Weekday'!Y11+'UPT-SatSun'!Y11</f>
        <v>67467</v>
      </c>
      <c r="Z11" s="2">
        <f>'UPT-Weekday'!Z11+'UPT-SatSun'!Z11</f>
        <v>10</v>
      </c>
      <c r="AA11" s="2">
        <f>'UPT-Weekday'!AA11+'UPT-SatSun'!AA11</f>
        <v>0</v>
      </c>
      <c r="AB11" s="2">
        <f>'UPT-Weekday'!AB11+'UPT-SatSun'!AB11</f>
        <v>0</v>
      </c>
      <c r="AC11" s="2">
        <f>'UPT-Weekday'!AC11+'UPT-SatSun'!AC11</f>
        <v>0</v>
      </c>
      <c r="AD11" s="2">
        <f>'UPT-Weekday'!AD11+'UPT-SatSun'!AD11</f>
        <v>0</v>
      </c>
      <c r="AE11" s="2">
        <f>'UPT-Weekday'!AE11+'UPT-SatSun'!AE11</f>
        <v>6310</v>
      </c>
      <c r="AF11" s="2">
        <f>'UPT-Weekday'!AF11+'UPT-SatSun'!AF11</f>
        <v>2142</v>
      </c>
      <c r="AG11" s="2">
        <f>'UPT-Weekday'!AG11+'UPT-SatSun'!AG11</f>
        <v>0</v>
      </c>
      <c r="AH11" s="2">
        <f>'UPT-Weekday'!AH11+'UPT-SatSun'!AH11</f>
        <v>1234</v>
      </c>
      <c r="AI11" s="2">
        <f>'UPT-Weekday'!AI11+'UPT-SatSun'!AI11</f>
        <v>389</v>
      </c>
      <c r="AJ11" s="2">
        <f>'UPT-Weekday'!AJ11+'UPT-SatSun'!AJ11</f>
        <v>1857</v>
      </c>
      <c r="AK11" s="2">
        <f>'UPT-Weekday'!AK11+'UPT-SatSun'!AK11</f>
        <v>0</v>
      </c>
      <c r="AL11" s="2">
        <f>'UPT-Weekday'!AL11+'UPT-SatSun'!AL11</f>
        <v>0</v>
      </c>
      <c r="AM11" s="2">
        <f t="shared" si="0"/>
        <v>13143.054054054053</v>
      </c>
      <c r="AN11" s="2"/>
    </row>
    <row r="12" spans="1:40">
      <c r="A12" s="23">
        <v>44470</v>
      </c>
      <c r="B12" s="2">
        <f>'UPT-Weekday'!B12+'UPT-SatSun'!B12</f>
        <v>17850</v>
      </c>
      <c r="C12" s="2">
        <f>'UPT-Weekday'!C12+'UPT-SatSun'!C12</f>
        <v>13519</v>
      </c>
      <c r="D12" s="2">
        <f>'UPT-Weekday'!D12+'UPT-SatSun'!D12</f>
        <v>20063</v>
      </c>
      <c r="E12" s="2">
        <f>'UPT-Weekday'!E12+'UPT-SatSun'!E12</f>
        <v>10011</v>
      </c>
      <c r="F12" s="2">
        <f>'UPT-Weekday'!F12+'UPT-SatSun'!F12</f>
        <v>26631</v>
      </c>
      <c r="G12" s="2">
        <f>'UPT-Weekday'!G12+'UPT-SatSun'!G12</f>
        <v>15341</v>
      </c>
      <c r="H12" s="2">
        <f>'UPT-Weekday'!H12+'UPT-SatSun'!H12</f>
        <v>4749</v>
      </c>
      <c r="I12" s="2">
        <f>'UPT-Weekday'!I12+'UPT-SatSun'!I12</f>
        <v>6684</v>
      </c>
      <c r="J12" s="2">
        <f>'UPT-Weekday'!J12+'UPT-SatSun'!J12</f>
        <v>9284</v>
      </c>
      <c r="K12" s="2">
        <f>'UPT-Weekday'!K12+'UPT-SatSun'!K12</f>
        <v>7830</v>
      </c>
      <c r="L12" s="2">
        <f>'UPT-Weekday'!L12+'UPT-SatSun'!L12</f>
        <v>14305</v>
      </c>
      <c r="M12" s="2">
        <f>'UPT-Weekday'!M12+'UPT-SatSun'!M12</f>
        <v>1765</v>
      </c>
      <c r="N12" s="2">
        <f>'UPT-Weekday'!N12+'UPT-SatSun'!N12</f>
        <v>27359</v>
      </c>
      <c r="O12" s="2">
        <f>'UPT-Weekday'!O12+'UPT-SatSun'!O12</f>
        <v>40918</v>
      </c>
      <c r="P12" s="2">
        <f>'UPT-Weekday'!P12+'UPT-SatSun'!P12</f>
        <v>2129</v>
      </c>
      <c r="Q12" s="2">
        <f>'UPT-Weekday'!Q12+'UPT-SatSun'!Q12</f>
        <v>4335</v>
      </c>
      <c r="R12" s="2">
        <f>'UPT-Weekday'!R12+'UPT-SatSun'!R12</f>
        <v>9787</v>
      </c>
      <c r="S12" s="2">
        <f>'UPT-Weekday'!S12+'UPT-SatSun'!S12</f>
        <v>5208</v>
      </c>
      <c r="T12" s="2">
        <f>'UPT-Weekday'!T12+'UPT-SatSun'!T12</f>
        <v>959</v>
      </c>
      <c r="U12" s="2">
        <f>'UPT-Weekday'!U12+'UPT-SatSun'!U12</f>
        <v>5339</v>
      </c>
      <c r="V12" s="2">
        <f>'UPT-Weekday'!V12+'UPT-SatSun'!V12</f>
        <v>39217</v>
      </c>
      <c r="W12" s="2">
        <f>'UPT-Weekday'!W12+'UPT-SatSun'!W12</f>
        <v>53911</v>
      </c>
      <c r="X12" s="2">
        <f>'UPT-Weekday'!X12+'UPT-SatSun'!X12</f>
        <v>90899</v>
      </c>
      <c r="Y12" s="2">
        <f>'UPT-Weekday'!Y12+'UPT-SatSun'!Y12</f>
        <v>69647</v>
      </c>
      <c r="Z12" s="2">
        <f>'UPT-Weekday'!Z12+'UPT-SatSun'!Z12</f>
        <v>269</v>
      </c>
      <c r="AA12" s="2">
        <f>'UPT-Weekday'!AA12+'UPT-SatSun'!AA12</f>
        <v>0</v>
      </c>
      <c r="AB12" s="2">
        <f>'UPT-Weekday'!AB12+'UPT-SatSun'!AB12</f>
        <v>0</v>
      </c>
      <c r="AC12" s="2">
        <f>'UPT-Weekday'!AC12+'UPT-SatSun'!AC12</f>
        <v>0</v>
      </c>
      <c r="AD12" s="2">
        <f>'UPT-Weekday'!AD12+'UPT-SatSun'!AD12</f>
        <v>0</v>
      </c>
      <c r="AE12" s="2">
        <f>'UPT-Weekday'!AE12+'UPT-SatSun'!AE12</f>
        <v>6870</v>
      </c>
      <c r="AF12" s="2">
        <f>'UPT-Weekday'!AF12+'UPT-SatSun'!AF12</f>
        <v>2269</v>
      </c>
      <c r="AG12" s="2">
        <f>'UPT-Weekday'!AG12+'UPT-SatSun'!AG12</f>
        <v>0</v>
      </c>
      <c r="AH12" s="2">
        <f>'UPT-Weekday'!AH12+'UPT-SatSun'!AH12</f>
        <v>1304</v>
      </c>
      <c r="AI12" s="2">
        <f>'UPT-Weekday'!AI12+'UPT-SatSun'!AI12</f>
        <v>567</v>
      </c>
      <c r="AJ12" s="2">
        <f>'UPT-Weekday'!AJ12+'UPT-SatSun'!AJ12</f>
        <v>1790</v>
      </c>
      <c r="AK12" s="2">
        <f>'UPT-Weekday'!AK12+'UPT-SatSun'!AK12</f>
        <v>0</v>
      </c>
      <c r="AL12" s="2">
        <f>'UPT-Weekday'!AL12+'UPT-SatSun'!AL12</f>
        <v>9</v>
      </c>
      <c r="AM12" s="2">
        <f t="shared" si="0"/>
        <v>13805.891891891892</v>
      </c>
      <c r="AN12" s="2"/>
    </row>
    <row r="13" spans="1:40">
      <c r="A13" s="23">
        <v>44501</v>
      </c>
      <c r="B13" s="2">
        <f>'UPT-Weekday'!B13+'UPT-SatSun'!B13</f>
        <v>16816</v>
      </c>
      <c r="C13" s="2">
        <f>'UPT-Weekday'!C13+'UPT-SatSun'!C13</f>
        <v>13695</v>
      </c>
      <c r="D13" s="2">
        <f>'UPT-Weekday'!D13+'UPT-SatSun'!D13</f>
        <v>18947</v>
      </c>
      <c r="E13" s="2">
        <f>'UPT-Weekday'!E13+'UPT-SatSun'!E13</f>
        <v>9818</v>
      </c>
      <c r="F13" s="2">
        <f>'UPT-Weekday'!F13+'UPT-SatSun'!F13</f>
        <v>24887</v>
      </c>
      <c r="G13" s="2">
        <f>'UPT-Weekday'!G13+'UPT-SatSun'!G13</f>
        <v>15461</v>
      </c>
      <c r="H13" s="2">
        <f>'UPT-Weekday'!H13+'UPT-SatSun'!H13</f>
        <v>5063</v>
      </c>
      <c r="I13" s="2">
        <f>'UPT-Weekday'!I13+'UPT-SatSun'!I13</f>
        <v>6412</v>
      </c>
      <c r="J13" s="2">
        <f>'UPT-Weekday'!J13+'UPT-SatSun'!J13</f>
        <v>8200</v>
      </c>
      <c r="K13" s="2">
        <f>'UPT-Weekday'!K13+'UPT-SatSun'!K13</f>
        <v>7406</v>
      </c>
      <c r="L13" s="2">
        <f>'UPT-Weekday'!L13+'UPT-SatSun'!L13</f>
        <v>14324</v>
      </c>
      <c r="M13" s="2">
        <f>'UPT-Weekday'!M13+'UPT-SatSun'!M13</f>
        <v>1734</v>
      </c>
      <c r="N13" s="2">
        <f>'UPT-Weekday'!N13+'UPT-SatSun'!N13</f>
        <v>26431</v>
      </c>
      <c r="O13" s="2">
        <f>'UPT-Weekday'!O13+'UPT-SatSun'!O13</f>
        <v>39379</v>
      </c>
      <c r="P13" s="2">
        <f>'UPT-Weekday'!P13+'UPT-SatSun'!P13</f>
        <v>2123</v>
      </c>
      <c r="Q13" s="2">
        <f>'UPT-Weekday'!Q13+'UPT-SatSun'!Q13</f>
        <v>4242</v>
      </c>
      <c r="R13" s="2">
        <f>'UPT-Weekday'!R13+'UPT-SatSun'!R13</f>
        <v>9201</v>
      </c>
      <c r="S13" s="2">
        <f>'UPT-Weekday'!S13+'UPT-SatSun'!S13</f>
        <v>4695</v>
      </c>
      <c r="T13" s="2">
        <f>'UPT-Weekday'!T13+'UPT-SatSun'!T13</f>
        <v>1148</v>
      </c>
      <c r="U13" s="2">
        <f>'UPT-Weekday'!U13+'UPT-SatSun'!U13</f>
        <v>4987</v>
      </c>
      <c r="V13" s="2">
        <f>'UPT-Weekday'!V13+'UPT-SatSun'!V13</f>
        <v>38883</v>
      </c>
      <c r="W13" s="2">
        <f>'UPT-Weekday'!W13+'UPT-SatSun'!W13</f>
        <v>49553</v>
      </c>
      <c r="X13" s="2">
        <f>'UPT-Weekday'!X13+'UPT-SatSun'!X13</f>
        <v>88198</v>
      </c>
      <c r="Y13" s="2">
        <f>'UPT-Weekday'!Y13+'UPT-SatSun'!Y13</f>
        <v>69441</v>
      </c>
      <c r="Z13" s="2">
        <f>'UPT-Weekday'!Z13+'UPT-SatSun'!Z13</f>
        <v>107</v>
      </c>
      <c r="AA13" s="2">
        <f>'UPT-Weekday'!AA13+'UPT-SatSun'!AA13</f>
        <v>0</v>
      </c>
      <c r="AB13" s="2">
        <f>'UPT-Weekday'!AB13+'UPT-SatSun'!AB13</f>
        <v>0</v>
      </c>
      <c r="AC13" s="2">
        <f>'UPT-Weekday'!AC13+'UPT-SatSun'!AC13</f>
        <v>0</v>
      </c>
      <c r="AD13" s="2">
        <f>'UPT-Weekday'!AD13+'UPT-SatSun'!AD13</f>
        <v>0</v>
      </c>
      <c r="AE13" s="2">
        <f>'UPT-Weekday'!AE13+'UPT-SatSun'!AE13</f>
        <v>6574</v>
      </c>
      <c r="AF13" s="2">
        <f>'UPT-Weekday'!AF13+'UPT-SatSun'!AF13</f>
        <v>2059</v>
      </c>
      <c r="AG13" s="2">
        <f>'UPT-Weekday'!AG13+'UPT-SatSun'!AG13</f>
        <v>0</v>
      </c>
      <c r="AH13" s="2">
        <f>'UPT-Weekday'!AH13+'UPT-SatSun'!AH13</f>
        <v>1319</v>
      </c>
      <c r="AI13" s="2">
        <f>'UPT-Weekday'!AI13+'UPT-SatSun'!AI13</f>
        <v>560</v>
      </c>
      <c r="AJ13" s="2">
        <f>'UPT-Weekday'!AJ13+'UPT-SatSun'!AJ13</f>
        <v>2426</v>
      </c>
      <c r="AK13" s="2">
        <f>'UPT-Weekday'!AK13+'UPT-SatSun'!AK13</f>
        <v>0</v>
      </c>
      <c r="AL13" s="2">
        <f>'UPT-Weekday'!AL13+'UPT-SatSun'!AL13</f>
        <v>43</v>
      </c>
      <c r="AM13" s="2">
        <f t="shared" si="0"/>
        <v>13354.918918918918</v>
      </c>
      <c r="AN13" s="2"/>
    </row>
    <row r="14" spans="1:40">
      <c r="A14" s="23">
        <v>44531</v>
      </c>
      <c r="B14" s="2">
        <f>'UPT-Weekday'!B14+'UPT-SatSun'!B14</f>
        <v>15753</v>
      </c>
      <c r="C14" s="2">
        <f>'UPT-Weekday'!C14+'UPT-SatSun'!C14</f>
        <v>12841</v>
      </c>
      <c r="D14" s="2">
        <f>'UPT-Weekday'!D14+'UPT-SatSun'!D14</f>
        <v>16959</v>
      </c>
      <c r="E14" s="2">
        <f>'UPT-Weekday'!E14+'UPT-SatSun'!E14</f>
        <v>9071</v>
      </c>
      <c r="F14" s="2">
        <f>'UPT-Weekday'!F14+'UPT-SatSun'!F14</f>
        <v>22329</v>
      </c>
      <c r="G14" s="2">
        <f>'UPT-Weekday'!G14+'UPT-SatSun'!G14</f>
        <v>17066</v>
      </c>
      <c r="H14" s="2">
        <f>'UPT-Weekday'!H14+'UPT-SatSun'!H14</f>
        <v>5059</v>
      </c>
      <c r="I14" s="2">
        <f>'UPT-Weekday'!I14+'UPT-SatSun'!I14</f>
        <v>6438</v>
      </c>
      <c r="J14" s="2">
        <f>'UPT-Weekday'!J14+'UPT-SatSun'!J14</f>
        <v>8098</v>
      </c>
      <c r="K14" s="2">
        <f>'UPT-Weekday'!K14+'UPT-SatSun'!K14</f>
        <v>7102</v>
      </c>
      <c r="L14" s="2">
        <f>'UPT-Weekday'!L14+'UPT-SatSun'!L14</f>
        <v>12673</v>
      </c>
      <c r="M14" s="2">
        <f>'UPT-Weekday'!M14+'UPT-SatSun'!M14</f>
        <v>1382</v>
      </c>
      <c r="N14" s="2">
        <f>'UPT-Weekday'!N14+'UPT-SatSun'!N14</f>
        <v>25648</v>
      </c>
      <c r="O14" s="2">
        <f>'UPT-Weekday'!O14+'UPT-SatSun'!O14</f>
        <v>38102</v>
      </c>
      <c r="P14" s="2">
        <f>'UPT-Weekday'!P14+'UPT-SatSun'!P14</f>
        <v>1716</v>
      </c>
      <c r="Q14" s="2">
        <f>'UPT-Weekday'!Q14+'UPT-SatSun'!Q14</f>
        <v>4111</v>
      </c>
      <c r="R14" s="2">
        <f>'UPT-Weekday'!R14+'UPT-SatSun'!R14</f>
        <v>8951</v>
      </c>
      <c r="S14" s="2">
        <f>'UPT-Weekday'!S14+'UPT-SatSun'!S14</f>
        <v>5306</v>
      </c>
      <c r="T14" s="2">
        <f>'UPT-Weekday'!T14+'UPT-SatSun'!T14</f>
        <v>858</v>
      </c>
      <c r="U14" s="2">
        <f>'UPT-Weekday'!U14+'UPT-SatSun'!U14</f>
        <v>5024</v>
      </c>
      <c r="V14" s="2">
        <f>'UPT-Weekday'!V14+'UPT-SatSun'!V14</f>
        <v>37546</v>
      </c>
      <c r="W14" s="2">
        <f>'UPT-Weekday'!W14+'UPT-SatSun'!W14</f>
        <v>49574</v>
      </c>
      <c r="X14" s="2">
        <f>'UPT-Weekday'!X14+'UPT-SatSun'!X14</f>
        <v>85292</v>
      </c>
      <c r="Y14" s="2">
        <f>'UPT-Weekday'!Y14+'UPT-SatSun'!Y14</f>
        <v>68017</v>
      </c>
      <c r="Z14" s="2">
        <f>'UPT-Weekday'!Z14+'UPT-SatSun'!Z14</f>
        <v>121</v>
      </c>
      <c r="AA14" s="2">
        <f>'UPT-Weekday'!AA14+'UPT-SatSun'!AA14</f>
        <v>0</v>
      </c>
      <c r="AB14" s="2">
        <f>'UPT-Weekday'!AB14+'UPT-SatSun'!AB14</f>
        <v>0</v>
      </c>
      <c r="AC14" s="2">
        <f>'UPT-Weekday'!AC14+'UPT-SatSun'!AC14</f>
        <v>0</v>
      </c>
      <c r="AD14" s="2">
        <f>'UPT-Weekday'!AD14+'UPT-SatSun'!AD14</f>
        <v>0</v>
      </c>
      <c r="AE14" s="2">
        <f>'UPT-Weekday'!AE14+'UPT-SatSun'!AE14</f>
        <v>6781</v>
      </c>
      <c r="AF14" s="2">
        <f>'UPT-Weekday'!AF14+'UPT-SatSun'!AF14</f>
        <v>2092</v>
      </c>
      <c r="AG14" s="2">
        <f>'UPT-Weekday'!AG14+'UPT-SatSun'!AG14</f>
        <v>0</v>
      </c>
      <c r="AH14" s="2">
        <f>'UPT-Weekday'!AH14+'UPT-SatSun'!AH14</f>
        <v>1075</v>
      </c>
      <c r="AI14" s="2">
        <f>'UPT-Weekday'!AI14+'UPT-SatSun'!AI14</f>
        <v>577</v>
      </c>
      <c r="AJ14" s="2">
        <f>'UPT-Weekday'!AJ14+'UPT-SatSun'!AJ14</f>
        <v>1615</v>
      </c>
      <c r="AK14" s="2">
        <f>'UPT-Weekday'!AK14+'UPT-SatSun'!AK14</f>
        <v>0</v>
      </c>
      <c r="AL14" s="2">
        <f>'UPT-Weekday'!AL14+'UPT-SatSun'!AL14</f>
        <v>47</v>
      </c>
      <c r="AM14" s="2">
        <f t="shared" si="0"/>
        <v>12897.945945945947</v>
      </c>
      <c r="AN14" s="2"/>
    </row>
    <row r="15" spans="1:40">
      <c r="A15" s="23">
        <v>44562</v>
      </c>
      <c r="B15" s="2">
        <f>'UPT-Weekday'!B15+'UPT-SatSun'!B15</f>
        <v>14846</v>
      </c>
      <c r="C15" s="2">
        <f>'UPT-Weekday'!C15+'UPT-SatSun'!C15</f>
        <v>12134</v>
      </c>
      <c r="D15" s="2">
        <f>'UPT-Weekday'!D15+'UPT-SatSun'!D15</f>
        <v>16083</v>
      </c>
      <c r="E15" s="2">
        <f>'UPT-Weekday'!E15+'UPT-SatSun'!E15</f>
        <v>8284</v>
      </c>
      <c r="F15" s="2">
        <f>'UPT-Weekday'!F15+'UPT-SatSun'!F15</f>
        <v>21724</v>
      </c>
      <c r="G15" s="2">
        <f>'UPT-Weekday'!G15+'UPT-SatSun'!G15</f>
        <v>15252</v>
      </c>
      <c r="H15" s="2">
        <f>'UPT-Weekday'!H15+'UPT-SatSun'!H15</f>
        <v>4441</v>
      </c>
      <c r="I15" s="2">
        <f>'UPT-Weekday'!I15+'UPT-SatSun'!I15</f>
        <v>5987</v>
      </c>
      <c r="J15" s="2">
        <f>'UPT-Weekday'!J15+'UPT-SatSun'!J15</f>
        <v>7463</v>
      </c>
      <c r="K15" s="2">
        <f>'UPT-Weekday'!K15+'UPT-SatSun'!K15</f>
        <v>6157</v>
      </c>
      <c r="L15" s="2">
        <f>'UPT-Weekday'!L15+'UPT-SatSun'!L15</f>
        <v>11840</v>
      </c>
      <c r="M15" s="2">
        <f>'UPT-Weekday'!M15+'UPT-SatSun'!M15</f>
        <v>1181</v>
      </c>
      <c r="N15" s="2">
        <f>'UPT-Weekday'!N15+'UPT-SatSun'!N15</f>
        <v>24259</v>
      </c>
      <c r="O15" s="2">
        <f>'UPT-Weekday'!O15+'UPT-SatSun'!O15</f>
        <v>41227</v>
      </c>
      <c r="P15" s="2">
        <f>'UPT-Weekday'!P15+'UPT-SatSun'!P15</f>
        <v>1814</v>
      </c>
      <c r="Q15" s="2">
        <f>'UPT-Weekday'!Q15+'UPT-SatSun'!Q15</f>
        <v>3787</v>
      </c>
      <c r="R15" s="2">
        <f>'UPT-Weekday'!R15+'UPT-SatSun'!R15</f>
        <v>7945</v>
      </c>
      <c r="S15" s="2">
        <f>'UPT-Weekday'!S15+'UPT-SatSun'!S15</f>
        <v>3772</v>
      </c>
      <c r="T15" s="2">
        <f>'UPT-Weekday'!T15+'UPT-SatSun'!T15</f>
        <v>898</v>
      </c>
      <c r="U15" s="2">
        <f>'UPT-Weekday'!U15+'UPT-SatSun'!U15</f>
        <v>4384</v>
      </c>
      <c r="V15" s="2">
        <f>'UPT-Weekday'!V15+'UPT-SatSun'!V15</f>
        <v>34446</v>
      </c>
      <c r="W15" s="2">
        <f>'UPT-Weekday'!W15+'UPT-SatSun'!W15</f>
        <v>44431</v>
      </c>
      <c r="X15" s="2">
        <f>'UPT-Weekday'!X15+'UPT-SatSun'!X15</f>
        <v>76361</v>
      </c>
      <c r="Y15" s="2">
        <f>'UPT-Weekday'!Y15+'UPT-SatSun'!Y15</f>
        <v>63100</v>
      </c>
      <c r="Z15" s="2">
        <f>'UPT-Weekday'!Z15+'UPT-SatSun'!Z15</f>
        <v>67</v>
      </c>
      <c r="AA15" s="2">
        <f>'UPT-Weekday'!AA15+'UPT-SatSun'!AA15</f>
        <v>0</v>
      </c>
      <c r="AB15" s="2">
        <f>'UPT-Weekday'!AB15+'UPT-SatSun'!AB15</f>
        <v>0</v>
      </c>
      <c r="AC15" s="2">
        <f>'UPT-Weekday'!AC15+'UPT-SatSun'!AC15</f>
        <v>0</v>
      </c>
      <c r="AD15" s="2">
        <f>'UPT-Weekday'!AD15+'UPT-SatSun'!AD15</f>
        <v>0</v>
      </c>
      <c r="AE15" s="2">
        <f>'UPT-Weekday'!AE15+'UPT-SatSun'!AE15</f>
        <v>5420</v>
      </c>
      <c r="AF15" s="2">
        <f>'UPT-Weekday'!AF15+'UPT-SatSun'!AF15</f>
        <v>1842</v>
      </c>
      <c r="AG15" s="2">
        <f>'UPT-Weekday'!AG15+'UPT-SatSun'!AG15</f>
        <v>0</v>
      </c>
      <c r="AH15" s="2">
        <f>'UPT-Weekday'!AH15+'UPT-SatSun'!AH15</f>
        <v>1019</v>
      </c>
      <c r="AI15" s="2">
        <f>'UPT-Weekday'!AI15+'UPT-SatSun'!AI15</f>
        <v>471</v>
      </c>
      <c r="AJ15" s="2">
        <f>'UPT-Weekday'!AJ15+'UPT-SatSun'!AJ15</f>
        <v>1558</v>
      </c>
      <c r="AK15" s="2">
        <f>'UPT-Weekday'!AK15+'UPT-SatSun'!AK15</f>
        <v>0</v>
      </c>
      <c r="AL15" s="2">
        <f>'UPT-Weekday'!AL15+'UPT-SatSun'!AL15</f>
        <v>9</v>
      </c>
      <c r="AM15" s="2">
        <f t="shared" si="0"/>
        <v>11951.405405405405</v>
      </c>
      <c r="AN15" s="2"/>
    </row>
    <row r="16" spans="1:40">
      <c r="A16" s="23">
        <v>44593</v>
      </c>
      <c r="B16" s="2">
        <f>'UPT-Weekday'!B16+'UPT-SatSun'!B16</f>
        <v>16186</v>
      </c>
      <c r="C16" s="2">
        <f>'UPT-Weekday'!C16+'UPT-SatSun'!C16</f>
        <v>12635</v>
      </c>
      <c r="D16" s="2">
        <f>'UPT-Weekday'!D16+'UPT-SatSun'!D16</f>
        <v>17822</v>
      </c>
      <c r="E16" s="2">
        <f>'UPT-Weekday'!E16+'UPT-SatSun'!E16</f>
        <v>8404</v>
      </c>
      <c r="F16" s="2">
        <f>'UPT-Weekday'!F16+'UPT-SatSun'!F16</f>
        <v>23649</v>
      </c>
      <c r="G16" s="2">
        <f>'UPT-Weekday'!G16+'UPT-SatSun'!G16</f>
        <v>16452</v>
      </c>
      <c r="H16" s="2">
        <f>'UPT-Weekday'!H16+'UPT-SatSun'!H16</f>
        <v>4839</v>
      </c>
      <c r="I16" s="2">
        <f>'UPT-Weekday'!I16+'UPT-SatSun'!I16</f>
        <v>6107</v>
      </c>
      <c r="J16" s="2">
        <f>'UPT-Weekday'!J16+'UPT-SatSun'!J16</f>
        <v>8093</v>
      </c>
      <c r="K16" s="2">
        <f>'UPT-Weekday'!K16+'UPT-SatSun'!K16</f>
        <v>6428</v>
      </c>
      <c r="L16" s="2">
        <f>'UPT-Weekday'!L16+'UPT-SatSun'!L16</f>
        <v>13286</v>
      </c>
      <c r="M16" s="2">
        <f>'UPT-Weekday'!M16+'UPT-SatSun'!M16</f>
        <v>1487</v>
      </c>
      <c r="N16" s="2">
        <f>'UPT-Weekday'!N16+'UPT-SatSun'!N16</f>
        <v>24746</v>
      </c>
      <c r="O16" s="2">
        <f>'UPT-Weekday'!O16+'UPT-SatSun'!O16</f>
        <v>41039</v>
      </c>
      <c r="P16" s="2">
        <f>'UPT-Weekday'!P16+'UPT-SatSun'!P16</f>
        <v>2369</v>
      </c>
      <c r="Q16" s="2">
        <f>'UPT-Weekday'!Q16+'UPT-SatSun'!Q16</f>
        <v>3587</v>
      </c>
      <c r="R16" s="2">
        <f>'UPT-Weekday'!R16+'UPT-SatSun'!R16</f>
        <v>8350</v>
      </c>
      <c r="S16" s="2">
        <f>'UPT-Weekday'!S16+'UPT-SatSun'!S16</f>
        <v>3898</v>
      </c>
      <c r="T16" s="2">
        <f>'UPT-Weekday'!T16+'UPT-SatSun'!T16</f>
        <v>1123</v>
      </c>
      <c r="U16" s="2">
        <f>'UPT-Weekday'!U16+'UPT-SatSun'!U16</f>
        <v>4705</v>
      </c>
      <c r="V16" s="2">
        <f>'UPT-Weekday'!V16+'UPT-SatSun'!V16</f>
        <v>35554</v>
      </c>
      <c r="W16" s="2">
        <f>'UPT-Weekday'!W16+'UPT-SatSun'!W16</f>
        <v>47118</v>
      </c>
      <c r="X16" s="2">
        <f>'UPT-Weekday'!X16+'UPT-SatSun'!X16</f>
        <v>79737</v>
      </c>
      <c r="Y16" s="2">
        <f>'UPT-Weekday'!Y16+'UPT-SatSun'!Y16</f>
        <v>68168</v>
      </c>
      <c r="Z16" s="2">
        <f>'UPT-Weekday'!Z16+'UPT-SatSun'!Z16</f>
        <v>130</v>
      </c>
      <c r="AA16" s="2">
        <f>'UPT-Weekday'!AA16+'UPT-SatSun'!AA16</f>
        <v>0</v>
      </c>
      <c r="AB16" s="2">
        <f>'UPT-Weekday'!AB16+'UPT-SatSun'!AB16</f>
        <v>0</v>
      </c>
      <c r="AC16" s="2">
        <f>'UPT-Weekday'!AC16+'UPT-SatSun'!AC16</f>
        <v>0</v>
      </c>
      <c r="AD16" s="2">
        <f>'UPT-Weekday'!AD16+'UPT-SatSun'!AD16</f>
        <v>0</v>
      </c>
      <c r="AE16" s="2">
        <f>'UPT-Weekday'!AE16+'UPT-SatSun'!AE16</f>
        <v>6072</v>
      </c>
      <c r="AF16" s="2">
        <f>'UPT-Weekday'!AF16+'UPT-SatSun'!AF16</f>
        <v>2133</v>
      </c>
      <c r="AG16" s="2">
        <f>'UPT-Weekday'!AG16+'UPT-SatSun'!AG16</f>
        <v>0</v>
      </c>
      <c r="AH16" s="2">
        <f>'UPT-Weekday'!AH16+'UPT-SatSun'!AH16</f>
        <v>1342</v>
      </c>
      <c r="AI16" s="2">
        <f>'UPT-Weekday'!AI16+'UPT-SatSun'!AI16</f>
        <v>447</v>
      </c>
      <c r="AJ16" s="2">
        <f>'UPT-Weekday'!AJ16+'UPT-SatSun'!AJ16</f>
        <v>2301</v>
      </c>
      <c r="AK16" s="2">
        <f>'UPT-Weekday'!AK16+'UPT-SatSun'!AK16</f>
        <v>0</v>
      </c>
      <c r="AL16" s="2">
        <f>'UPT-Weekday'!AL16+'UPT-SatSun'!AL16</f>
        <v>19</v>
      </c>
      <c r="AM16" s="2">
        <f t="shared" si="0"/>
        <v>12654.756756756757</v>
      </c>
      <c r="AN16" s="2"/>
    </row>
    <row r="17" spans="1:40">
      <c r="A17" s="23">
        <v>44621</v>
      </c>
      <c r="B17" s="2">
        <f>'UPT-Weekday'!B17+'UPT-SatSun'!B17</f>
        <v>18503</v>
      </c>
      <c r="C17" s="2">
        <f>'UPT-Weekday'!C17+'UPT-SatSun'!C17</f>
        <v>14362</v>
      </c>
      <c r="D17" s="2">
        <f>'UPT-Weekday'!D17+'UPT-SatSun'!D17</f>
        <v>22189</v>
      </c>
      <c r="E17" s="2">
        <f>'UPT-Weekday'!E17+'UPT-SatSun'!E17</f>
        <v>11269</v>
      </c>
      <c r="F17" s="2">
        <f>'UPT-Weekday'!F17+'UPT-SatSun'!F17</f>
        <v>29120</v>
      </c>
      <c r="G17" s="2">
        <f>'UPT-Weekday'!G17+'UPT-SatSun'!G17</f>
        <v>18539</v>
      </c>
      <c r="H17" s="2">
        <f>'UPT-Weekday'!H17+'UPT-SatSun'!H17</f>
        <v>5718</v>
      </c>
      <c r="I17" s="2">
        <f>'UPT-Weekday'!I17+'UPT-SatSun'!I17</f>
        <v>7446</v>
      </c>
      <c r="J17" s="2">
        <f>'UPT-Weekday'!J17+'UPT-SatSun'!J17</f>
        <v>9118</v>
      </c>
      <c r="K17" s="2">
        <f>'UPT-Weekday'!K17+'UPT-SatSun'!K17</f>
        <v>9025</v>
      </c>
      <c r="L17" s="2">
        <f>'UPT-Weekday'!L17+'UPT-SatSun'!L17</f>
        <v>15092</v>
      </c>
      <c r="M17" s="2">
        <f>'UPT-Weekday'!M17+'UPT-SatSun'!M17</f>
        <v>1755</v>
      </c>
      <c r="N17" s="2">
        <f>'UPT-Weekday'!N17+'UPT-SatSun'!N17</f>
        <v>29053</v>
      </c>
      <c r="O17" s="2">
        <f>'UPT-Weekday'!O17+'UPT-SatSun'!O17</f>
        <v>44861</v>
      </c>
      <c r="P17" s="2">
        <f>'UPT-Weekday'!P17+'UPT-SatSun'!P17</f>
        <v>2529</v>
      </c>
      <c r="Q17" s="2">
        <f>'UPT-Weekday'!Q17+'UPT-SatSun'!Q17</f>
        <v>4243</v>
      </c>
      <c r="R17" s="2">
        <f>'UPT-Weekday'!R17+'UPT-SatSun'!R17</f>
        <v>9985</v>
      </c>
      <c r="S17" s="2">
        <f>'UPT-Weekday'!S17+'UPT-SatSun'!S17</f>
        <v>5996</v>
      </c>
      <c r="T17" s="2">
        <f>'UPT-Weekday'!T17+'UPT-SatSun'!T17</f>
        <v>1296</v>
      </c>
      <c r="U17" s="2">
        <f>'UPT-Weekday'!U17+'UPT-SatSun'!U17</f>
        <v>5703</v>
      </c>
      <c r="V17" s="2">
        <f>'UPT-Weekday'!V17+'UPT-SatSun'!V17</f>
        <v>41803</v>
      </c>
      <c r="W17" s="2">
        <f>'UPT-Weekday'!W17+'UPT-SatSun'!W17</f>
        <v>58665</v>
      </c>
      <c r="X17" s="2">
        <f>'UPT-Weekday'!X17+'UPT-SatSun'!X17</f>
        <v>98431</v>
      </c>
      <c r="Y17" s="2">
        <f>'UPT-Weekday'!Y17+'UPT-SatSun'!Y17</f>
        <v>78780</v>
      </c>
      <c r="Z17" s="2">
        <f>'UPT-Weekday'!Z17+'UPT-SatSun'!Z17</f>
        <v>249</v>
      </c>
      <c r="AA17" s="2">
        <f>'UPT-Weekday'!AA17+'UPT-SatSun'!AA17</f>
        <v>0</v>
      </c>
      <c r="AB17" s="2">
        <f>'UPT-Weekday'!AB17+'UPT-SatSun'!AB17</f>
        <v>0</v>
      </c>
      <c r="AC17" s="2">
        <f>'UPT-Weekday'!AC17+'UPT-SatSun'!AC17</f>
        <v>0</v>
      </c>
      <c r="AD17" s="2">
        <f>'UPT-Weekday'!AD17+'UPT-SatSun'!AD17</f>
        <v>0</v>
      </c>
      <c r="AE17" s="2">
        <f>'UPT-Weekday'!AE17+'UPT-SatSun'!AE17</f>
        <v>6748</v>
      </c>
      <c r="AF17" s="2">
        <f>'UPT-Weekday'!AF17+'UPT-SatSun'!AF17</f>
        <v>2466</v>
      </c>
      <c r="AG17" s="2">
        <f>'UPT-Weekday'!AG17+'UPT-SatSun'!AG17</f>
        <v>0</v>
      </c>
      <c r="AH17" s="2">
        <f>'UPT-Weekday'!AH17+'UPT-SatSun'!AH17</f>
        <v>1716</v>
      </c>
      <c r="AI17" s="2">
        <f>'UPT-Weekday'!AI17+'UPT-SatSun'!AI17</f>
        <v>559</v>
      </c>
      <c r="AJ17" s="2">
        <f>'UPT-Weekday'!AJ17+'UPT-SatSun'!AJ17</f>
        <v>2473</v>
      </c>
      <c r="AK17" s="2">
        <f>'UPT-Weekday'!AK17+'UPT-SatSun'!AK17</f>
        <v>0</v>
      </c>
      <c r="AL17" s="2">
        <f>'UPT-Weekday'!AL17+'UPT-SatSun'!AL17</f>
        <v>38</v>
      </c>
      <c r="AM17" s="2">
        <f t="shared" si="0"/>
        <v>15073.783783783783</v>
      </c>
      <c r="AN17" s="2"/>
    </row>
    <row r="18" spans="1:40">
      <c r="A18" s="23">
        <v>44652</v>
      </c>
      <c r="B18" s="2">
        <f>'UPT-Weekday'!B18+'UPT-SatSun'!B18</f>
        <v>39427</v>
      </c>
      <c r="C18" s="2">
        <f>'UPT-Weekday'!C18+'UPT-SatSun'!C18</f>
        <v>14856</v>
      </c>
      <c r="D18" s="2">
        <f>'UPT-Weekday'!D18+'UPT-SatSun'!D18</f>
        <v>1868</v>
      </c>
      <c r="E18" s="2">
        <f>'UPT-Weekday'!E18+'UPT-SatSun'!E18</f>
        <v>11404</v>
      </c>
      <c r="F18" s="2">
        <f>'UPT-Weekday'!F18+'UPT-SatSun'!F18</f>
        <v>28758</v>
      </c>
      <c r="G18" s="2">
        <f>'UPT-Weekday'!G18+'UPT-SatSun'!G18</f>
        <v>16996</v>
      </c>
      <c r="H18" s="2">
        <f>'UPT-Weekday'!H18+'UPT-SatSun'!H18</f>
        <v>5774</v>
      </c>
      <c r="I18" s="2">
        <f>'UPT-Weekday'!I18+'UPT-SatSun'!I18</f>
        <v>7529</v>
      </c>
      <c r="J18" s="2">
        <f>'UPT-Weekday'!J18+'UPT-SatSun'!J18</f>
        <v>10714</v>
      </c>
      <c r="K18" s="2">
        <f>'UPT-Weekday'!K18+'UPT-SatSun'!K18</f>
        <v>9066</v>
      </c>
      <c r="L18" s="2">
        <f>'UPT-Weekday'!L18+'UPT-SatSun'!L18</f>
        <v>13930</v>
      </c>
      <c r="M18" s="2">
        <f>'UPT-Weekday'!M18+'UPT-SatSun'!M18</f>
        <v>107</v>
      </c>
      <c r="N18" s="2">
        <f>'UPT-Weekday'!N18+'UPT-SatSun'!N18</f>
        <v>28326</v>
      </c>
      <c r="O18" s="2">
        <f>'UPT-Weekday'!O18+'UPT-SatSun'!O18</f>
        <v>43311</v>
      </c>
      <c r="P18" s="2">
        <f>'UPT-Weekday'!P18+'UPT-SatSun'!P18</f>
        <v>110</v>
      </c>
      <c r="Q18" s="2">
        <f>'UPT-Weekday'!Q18+'UPT-SatSun'!Q18</f>
        <v>4589</v>
      </c>
      <c r="R18" s="2">
        <f>'UPT-Weekday'!R18+'UPT-SatSun'!R18</f>
        <v>9794</v>
      </c>
      <c r="S18" s="2">
        <f>'UPT-Weekday'!S18+'UPT-SatSun'!S18</f>
        <v>6129</v>
      </c>
      <c r="T18" s="2">
        <f>'UPT-Weekday'!T18+'UPT-SatSun'!T18</f>
        <v>1217</v>
      </c>
      <c r="U18" s="2">
        <f>'UPT-Weekday'!U18+'UPT-SatSun'!U18</f>
        <v>5850</v>
      </c>
      <c r="V18" s="2">
        <f>'UPT-Weekday'!V18+'UPT-SatSun'!V18</f>
        <v>41079</v>
      </c>
      <c r="W18" s="2">
        <f>'UPT-Weekday'!W18+'UPT-SatSun'!W18</f>
        <v>59365</v>
      </c>
      <c r="X18" s="2">
        <f>'UPT-Weekday'!X18+'UPT-SatSun'!X18</f>
        <v>98358</v>
      </c>
      <c r="Y18" s="2">
        <f>'UPT-Weekday'!Y18+'UPT-SatSun'!Y18</f>
        <v>76935</v>
      </c>
      <c r="Z18" s="2">
        <f>'UPT-Weekday'!Z18+'UPT-SatSun'!Z18</f>
        <v>235</v>
      </c>
      <c r="AA18" s="2">
        <f>'UPT-Weekday'!AA18+'UPT-SatSun'!AA18</f>
        <v>0</v>
      </c>
      <c r="AB18" s="2">
        <f>'UPT-Weekday'!AB18+'UPT-SatSun'!AB18</f>
        <v>0</v>
      </c>
      <c r="AC18" s="2">
        <f>'UPT-Weekday'!AC18+'UPT-SatSun'!AC18</f>
        <v>0</v>
      </c>
      <c r="AD18" s="2">
        <f>'UPT-Weekday'!AD18+'UPT-SatSun'!AD18</f>
        <v>2052</v>
      </c>
      <c r="AE18" s="2">
        <f>'UPT-Weekday'!AE18+'UPT-SatSun'!AE18</f>
        <v>6346</v>
      </c>
      <c r="AF18" s="2">
        <f>'UPT-Weekday'!AF18+'UPT-SatSun'!AF18</f>
        <v>3883</v>
      </c>
      <c r="AG18" s="2">
        <f>'UPT-Weekday'!AG18+'UPT-SatSun'!AG18</f>
        <v>1258</v>
      </c>
      <c r="AH18" s="2">
        <f>'UPT-Weekday'!AH18+'UPT-SatSun'!AH18</f>
        <v>1673</v>
      </c>
      <c r="AI18" s="2">
        <f>'UPT-Weekday'!AI18+'UPT-SatSun'!AI18</f>
        <v>585</v>
      </c>
      <c r="AJ18" s="2">
        <f>'UPT-Weekday'!AJ18+'UPT-SatSun'!AJ18</f>
        <v>2692</v>
      </c>
      <c r="AK18" s="2">
        <f>'UPT-Weekday'!AK18+'UPT-SatSun'!AK18</f>
        <v>0</v>
      </c>
      <c r="AL18" s="2">
        <f>'UPT-Weekday'!AL18+'UPT-SatSun'!AL18</f>
        <v>28</v>
      </c>
      <c r="AM18" s="2">
        <f t="shared" si="0"/>
        <v>14979.567567567568</v>
      </c>
      <c r="AN18" s="2"/>
    </row>
    <row r="19" spans="1:40">
      <c r="A19" s="23">
        <v>44682</v>
      </c>
      <c r="B19" s="2">
        <f>'UPT-Weekday'!B19+'UPT-SatSun'!B19</f>
        <v>39485</v>
      </c>
      <c r="C19" s="2">
        <f>'UPT-Weekday'!C19+'UPT-SatSun'!C19</f>
        <v>14470</v>
      </c>
      <c r="D19" s="2">
        <f>'UPT-Weekday'!D19+'UPT-SatSun'!D19</f>
        <v>960</v>
      </c>
      <c r="E19" s="2">
        <f>'UPT-Weekday'!E19+'UPT-SatSun'!E19</f>
        <v>13401</v>
      </c>
      <c r="F19" s="2">
        <f>'UPT-Weekday'!F19+'UPT-SatSun'!F19</f>
        <v>28544</v>
      </c>
      <c r="G19" s="2">
        <f>'UPT-Weekday'!G19+'UPT-SatSun'!G19</f>
        <v>16410</v>
      </c>
      <c r="H19" s="2">
        <f>'UPT-Weekday'!H19+'UPT-SatSun'!H19</f>
        <v>6588</v>
      </c>
      <c r="I19" s="2">
        <f>'UPT-Weekday'!I19+'UPT-SatSun'!I19</f>
        <v>7816</v>
      </c>
      <c r="J19" s="2">
        <f>'UPT-Weekday'!J19+'UPT-SatSun'!J19</f>
        <v>10564</v>
      </c>
      <c r="K19" s="2">
        <f>'UPT-Weekday'!K19+'UPT-SatSun'!K19</f>
        <v>10089</v>
      </c>
      <c r="L19" s="2">
        <f>'UPT-Weekday'!L19+'UPT-SatSun'!L19</f>
        <v>14071</v>
      </c>
      <c r="M19" s="2">
        <f>'UPT-Weekday'!M19+'UPT-SatSun'!M19</f>
        <v>2966</v>
      </c>
      <c r="N19" s="2">
        <f>'UPT-Weekday'!N19+'UPT-SatSun'!N19</f>
        <v>31388</v>
      </c>
      <c r="O19" s="2">
        <f>'UPT-Weekday'!O19+'UPT-SatSun'!O19</f>
        <v>41197</v>
      </c>
      <c r="P19" s="2">
        <f>'UPT-Weekday'!P19+'UPT-SatSun'!P19</f>
        <v>522</v>
      </c>
      <c r="Q19" s="2">
        <f>'UPT-Weekday'!Q19+'UPT-SatSun'!Q19</f>
        <v>5938</v>
      </c>
      <c r="R19" s="2">
        <f>'UPT-Weekday'!R19+'UPT-SatSun'!R19</f>
        <v>10358</v>
      </c>
      <c r="S19" s="2">
        <f>'UPT-Weekday'!S19+'UPT-SatSun'!S19</f>
        <v>6328</v>
      </c>
      <c r="T19" s="2">
        <f>'UPT-Weekday'!T19+'UPT-SatSun'!T19</f>
        <v>1059</v>
      </c>
      <c r="U19" s="2">
        <f>'UPT-Weekday'!U19+'UPT-SatSun'!U19</f>
        <v>10039</v>
      </c>
      <c r="V19" s="2">
        <f>'UPT-Weekday'!V19+'UPT-SatSun'!V19</f>
        <v>48383</v>
      </c>
      <c r="W19" s="2">
        <f>'UPT-Weekday'!W19+'UPT-SatSun'!W19</f>
        <v>70551</v>
      </c>
      <c r="X19" s="2">
        <f>'UPT-Weekday'!X19+'UPT-SatSun'!X19</f>
        <v>104089</v>
      </c>
      <c r="Y19" s="2">
        <f>'UPT-Weekday'!Y19+'UPT-SatSun'!Y19</f>
        <v>72613</v>
      </c>
      <c r="Z19" s="2">
        <f>'UPT-Weekday'!Z19+'UPT-SatSun'!Z19</f>
        <v>281</v>
      </c>
      <c r="AA19" s="2">
        <f>'UPT-Weekday'!AA19+'UPT-SatSun'!AA19</f>
        <v>0</v>
      </c>
      <c r="AB19" s="2">
        <f>'UPT-Weekday'!AB19+'UPT-SatSun'!AB19</f>
        <v>0</v>
      </c>
      <c r="AC19" s="52">
        <f>'UPT-Weekday'!AC19+'UPT-SatSun'!AC19</f>
        <v>113</v>
      </c>
      <c r="AD19" s="2">
        <f>'UPT-Weekday'!AD19+'UPT-SatSun'!AD19</f>
        <v>2379</v>
      </c>
      <c r="AE19" s="2">
        <f>'UPT-Weekday'!AE19+'UPT-SatSun'!AE19</f>
        <v>6717</v>
      </c>
      <c r="AF19" s="2">
        <f>'UPT-Weekday'!AF19+'UPT-SatSun'!AF19</f>
        <v>3875</v>
      </c>
      <c r="AG19" s="2">
        <f>'UPT-Weekday'!AG19+'UPT-SatSun'!AG19</f>
        <v>2026</v>
      </c>
      <c r="AH19" s="2">
        <f>'UPT-Weekday'!AH19+'UPT-SatSun'!AH19</f>
        <v>1779</v>
      </c>
      <c r="AI19" s="2">
        <f>'UPT-Weekday'!AI19+'UPT-SatSun'!AI19</f>
        <v>516</v>
      </c>
      <c r="AJ19" s="2">
        <f>'UPT-Weekday'!AJ19+'UPT-SatSun'!AJ19</f>
        <v>2448</v>
      </c>
      <c r="AK19" s="2">
        <f>'UPT-Weekday'!AK19+'UPT-SatSun'!AK19</f>
        <v>0</v>
      </c>
      <c r="AL19" s="2">
        <f>'UPT-Weekday'!AL19+'UPT-SatSun'!AL19</f>
        <v>41</v>
      </c>
      <c r="AM19" s="2">
        <f t="shared" si="0"/>
        <v>15892</v>
      </c>
      <c r="AN19" s="2"/>
    </row>
    <row r="20" spans="1:40">
      <c r="A20" s="23">
        <v>44713</v>
      </c>
      <c r="B20" s="2">
        <f>'UPT-Weekday'!B20+'UPT-SatSun'!B20</f>
        <v>40729</v>
      </c>
      <c r="C20" s="2">
        <f>'UPT-Weekday'!C20+'UPT-SatSun'!C20</f>
        <v>14466</v>
      </c>
      <c r="D20" s="2">
        <f>'UPT-Weekday'!D20+'UPT-SatSun'!D20</f>
        <v>0</v>
      </c>
      <c r="E20" s="2">
        <f>'UPT-Weekday'!E20+'UPT-SatSun'!E20</f>
        <v>11588</v>
      </c>
      <c r="F20" s="2">
        <f>'UPT-Weekday'!F20+'UPT-SatSun'!F20</f>
        <v>27822</v>
      </c>
      <c r="G20" s="2">
        <f>'UPT-Weekday'!G20+'UPT-SatSun'!G20</f>
        <v>18263</v>
      </c>
      <c r="H20" s="2">
        <f>'UPT-Weekday'!H20+'UPT-SatSun'!H20</f>
        <v>5853</v>
      </c>
      <c r="I20" s="2">
        <f>'UPT-Weekday'!I20+'UPT-SatSun'!I20</f>
        <v>6606</v>
      </c>
      <c r="J20" s="2">
        <f>'UPT-Weekday'!J20+'UPT-SatSun'!J20</f>
        <v>10383</v>
      </c>
      <c r="K20" s="2">
        <f>'UPT-Weekday'!K20+'UPT-SatSun'!K20</f>
        <v>10357</v>
      </c>
      <c r="L20" s="2">
        <f>'UPT-Weekday'!L20+'UPT-SatSun'!L20</f>
        <v>15030</v>
      </c>
      <c r="M20" s="2">
        <f>'UPT-Weekday'!M20+'UPT-SatSun'!M20</f>
        <v>0</v>
      </c>
      <c r="N20" s="2">
        <f>'UPT-Weekday'!N20+'UPT-SatSun'!N20</f>
        <v>27810</v>
      </c>
      <c r="O20" s="2">
        <f>'UPT-Weekday'!O20+'UPT-SatSun'!O20</f>
        <v>42941</v>
      </c>
      <c r="P20" s="2">
        <f>'UPT-Weekday'!P20+'UPT-SatSun'!P20</f>
        <v>0</v>
      </c>
      <c r="Q20" s="2">
        <f>'UPT-Weekday'!Q20+'UPT-SatSun'!Q20</f>
        <v>5609</v>
      </c>
      <c r="R20" s="2">
        <f>'UPT-Weekday'!R20+'UPT-SatSun'!R20</f>
        <v>11334</v>
      </c>
      <c r="S20" s="2">
        <f>'UPT-Weekday'!S20+'UPT-SatSun'!S20</f>
        <v>8019</v>
      </c>
      <c r="T20" s="2">
        <f>'UPT-Weekday'!T20+'UPT-SatSun'!T20</f>
        <v>766</v>
      </c>
      <c r="U20" s="2">
        <f>'UPT-Weekday'!U20+'UPT-SatSun'!U20</f>
        <v>6163</v>
      </c>
      <c r="V20" s="2">
        <f>'UPT-Weekday'!V20+'UPT-SatSun'!V20</f>
        <v>40724</v>
      </c>
      <c r="W20" s="2">
        <f>'UPT-Weekday'!W20+'UPT-SatSun'!W20</f>
        <v>64162</v>
      </c>
      <c r="X20" s="2">
        <f>'UPT-Weekday'!X20+'UPT-SatSun'!X20</f>
        <v>104714</v>
      </c>
      <c r="Y20" s="2">
        <f>'UPT-Weekday'!Y20+'UPT-SatSun'!Y20</f>
        <v>74742</v>
      </c>
      <c r="Z20" s="2">
        <f>'UPT-Weekday'!Z20+'UPT-SatSun'!Z20</f>
        <v>250</v>
      </c>
      <c r="AA20" s="2">
        <f>'UPT-Weekday'!AA20+'UPT-SatSun'!AA20</f>
        <v>0</v>
      </c>
      <c r="AB20" s="2">
        <f>'UPT-Weekday'!AB20+'UPT-SatSun'!AB20</f>
        <v>0</v>
      </c>
      <c r="AC20" s="2">
        <f>'UPT-Weekday'!AC20+'UPT-SatSun'!AC20</f>
        <v>0</v>
      </c>
      <c r="AD20" s="2">
        <f>'UPT-Weekday'!AD20+'UPT-SatSun'!AD20</f>
        <v>1857</v>
      </c>
      <c r="AE20" s="2">
        <f>'UPT-Weekday'!AE20+'UPT-SatSun'!AE20</f>
        <v>6743</v>
      </c>
      <c r="AF20" s="2">
        <f>'UPT-Weekday'!AF20+'UPT-SatSun'!AF20</f>
        <v>4557</v>
      </c>
      <c r="AG20" s="2">
        <f>'UPT-Weekday'!AG20+'UPT-SatSun'!AG20</f>
        <v>2800</v>
      </c>
      <c r="AH20" s="2">
        <f>'UPT-Weekday'!AH20+'UPT-SatSun'!AH20</f>
        <v>1807</v>
      </c>
      <c r="AI20" s="2">
        <f>'UPT-Weekday'!AI20+'UPT-SatSun'!AI20</f>
        <v>499</v>
      </c>
      <c r="AJ20" s="2">
        <f>'UPT-Weekday'!AJ20+'UPT-SatSun'!AJ20</f>
        <v>2197</v>
      </c>
      <c r="AK20" s="2">
        <f>'UPT-Weekday'!AK20+'UPT-SatSun'!AK20</f>
        <v>0</v>
      </c>
      <c r="AL20" s="2">
        <f>'UPT-Weekday'!AL20+'UPT-SatSun'!AL20</f>
        <v>25</v>
      </c>
      <c r="AM20" s="2">
        <f t="shared" si="0"/>
        <v>15373.405405405405</v>
      </c>
      <c r="AN20" s="2"/>
    </row>
    <row r="21" spans="1:40">
      <c r="A21" s="23">
        <v>44743</v>
      </c>
      <c r="B21" s="2">
        <f>'UPT-Weekday'!B21+'UPT-SatSun'!B21</f>
        <v>42340</v>
      </c>
      <c r="C21" s="2">
        <f>'UPT-Weekday'!C21+'UPT-SatSun'!C21</f>
        <v>14468</v>
      </c>
      <c r="D21" s="2">
        <f>'UPT-Weekday'!D21+'UPT-SatSun'!D21</f>
        <v>0</v>
      </c>
      <c r="E21" s="2">
        <f>'UPT-Weekday'!E21+'UPT-SatSun'!E21</f>
        <v>11815</v>
      </c>
      <c r="F21" s="2">
        <f>'UPT-Weekday'!F21+'UPT-SatSun'!F21</f>
        <v>28181</v>
      </c>
      <c r="G21" s="2">
        <f>'UPT-Weekday'!G21+'UPT-SatSun'!G21</f>
        <v>18914</v>
      </c>
      <c r="H21" s="2">
        <f>'UPT-Weekday'!H21+'UPT-SatSun'!H21</f>
        <v>5784</v>
      </c>
      <c r="I21" s="2">
        <f>'UPT-Weekday'!I21+'UPT-SatSun'!I21</f>
        <v>6323</v>
      </c>
      <c r="J21" s="2">
        <f>'UPT-Weekday'!J21+'UPT-SatSun'!J21</f>
        <v>10411</v>
      </c>
      <c r="K21" s="2">
        <f>'UPT-Weekday'!K21+'UPT-SatSun'!K21</f>
        <v>10372</v>
      </c>
      <c r="L21" s="2">
        <f>'UPT-Weekday'!L21+'UPT-SatSun'!L21</f>
        <v>14929</v>
      </c>
      <c r="M21" s="2">
        <f>'UPT-Weekday'!M21+'UPT-SatSun'!M21</f>
        <v>0</v>
      </c>
      <c r="N21" s="2">
        <f>'UPT-Weekday'!N21+'UPT-SatSun'!N21</f>
        <v>29142</v>
      </c>
      <c r="O21" s="2">
        <f>'UPT-Weekday'!O21+'UPT-SatSun'!O21</f>
        <v>44693</v>
      </c>
      <c r="P21" s="2">
        <f>'UPT-Weekday'!P21+'UPT-SatSun'!P21</f>
        <v>0</v>
      </c>
      <c r="Q21" s="2">
        <f>'UPT-Weekday'!Q21+'UPT-SatSun'!Q21</f>
        <v>4991</v>
      </c>
      <c r="R21" s="2">
        <f>'UPT-Weekday'!R21+'UPT-SatSun'!R21</f>
        <v>11046</v>
      </c>
      <c r="S21" s="2">
        <f>'UPT-Weekday'!S21+'UPT-SatSun'!S21</f>
        <v>7777</v>
      </c>
      <c r="T21" s="2">
        <f>'UPT-Weekday'!T21+'UPT-SatSun'!T21</f>
        <v>657</v>
      </c>
      <c r="U21" s="2">
        <f>'UPT-Weekday'!U21+'UPT-SatSun'!U21</f>
        <v>6553</v>
      </c>
      <c r="V21" s="2">
        <f>'UPT-Weekday'!V21+'UPT-SatSun'!V21</f>
        <v>40982</v>
      </c>
      <c r="W21" s="2">
        <f>'UPT-Weekday'!W21+'UPT-SatSun'!W21</f>
        <v>66161</v>
      </c>
      <c r="X21" s="2">
        <f>'UPT-Weekday'!X21+'UPT-SatSun'!X21</f>
        <v>109531</v>
      </c>
      <c r="Y21" s="2">
        <f>'UPT-Weekday'!Y21+'UPT-SatSun'!Y21</f>
        <v>74863</v>
      </c>
      <c r="Z21" s="2">
        <f>'UPT-Weekday'!Z21+'UPT-SatSun'!Z21</f>
        <v>246</v>
      </c>
      <c r="AA21" s="2">
        <f>'UPT-Weekday'!AA21+'UPT-SatSun'!AA21</f>
        <v>0</v>
      </c>
      <c r="AB21" s="2">
        <f>'UPT-Weekday'!AB21+'UPT-SatSun'!AB21</f>
        <v>0</v>
      </c>
      <c r="AC21" s="2">
        <f>'UPT-Weekday'!AC21+'UPT-SatSun'!AC21</f>
        <v>0</v>
      </c>
      <c r="AD21" s="2">
        <f>'UPT-Weekday'!AD21+'UPT-SatSun'!AD21</f>
        <v>1548</v>
      </c>
      <c r="AE21" s="2">
        <f>'UPT-Weekday'!AE21+'UPT-SatSun'!AE21</f>
        <v>6190</v>
      </c>
      <c r="AF21" s="2">
        <f>'UPT-Weekday'!AF21+'UPT-SatSun'!AF21</f>
        <v>4531</v>
      </c>
      <c r="AG21" s="2">
        <f>'UPT-Weekday'!AG21+'UPT-SatSun'!AG21</f>
        <v>2579</v>
      </c>
      <c r="AH21" s="2">
        <f>'UPT-Weekday'!AH21+'UPT-SatSun'!AH21</f>
        <v>1621</v>
      </c>
      <c r="AI21" s="2">
        <f>'UPT-Weekday'!AI21+'UPT-SatSun'!AI21</f>
        <v>508</v>
      </c>
      <c r="AJ21" s="2">
        <f>'UPT-Weekday'!AJ21+'UPT-SatSun'!AJ21</f>
        <v>1987</v>
      </c>
      <c r="AK21" s="2">
        <f>'UPT-Weekday'!AK21+'UPT-SatSun'!AK21</f>
        <v>0</v>
      </c>
      <c r="AL21" s="2">
        <f>'UPT-Weekday'!AL21+'UPT-SatSun'!AL21</f>
        <v>34</v>
      </c>
      <c r="AM21" s="2">
        <f t="shared" si="0"/>
        <v>15653.432432432432</v>
      </c>
      <c r="AN21" s="2"/>
    </row>
    <row r="22" spans="1:40">
      <c r="A22" s="23">
        <v>44774</v>
      </c>
      <c r="B22" s="2">
        <f>'UPT-Weekday'!B22+'UPT-SatSun'!B22</f>
        <v>51564</v>
      </c>
      <c r="C22" s="2">
        <f>'UPT-Weekday'!C22+'UPT-SatSun'!C22</f>
        <v>18839</v>
      </c>
      <c r="D22" s="2">
        <f>'UPT-Weekday'!D22+'UPT-SatSun'!D22</f>
        <v>0</v>
      </c>
      <c r="E22" s="2">
        <f>'UPT-Weekday'!E22+'UPT-SatSun'!E22</f>
        <v>15015</v>
      </c>
      <c r="F22" s="2">
        <f>'UPT-Weekday'!F22+'UPT-SatSun'!F22</f>
        <v>35262</v>
      </c>
      <c r="G22" s="2">
        <f>'UPT-Weekday'!G22+'UPT-SatSun'!G22</f>
        <v>21759</v>
      </c>
      <c r="H22" s="2">
        <f>'UPT-Weekday'!H22+'UPT-SatSun'!H22</f>
        <v>7511</v>
      </c>
      <c r="I22" s="2">
        <f>'UPT-Weekday'!I22+'UPT-SatSun'!I22</f>
        <v>7037</v>
      </c>
      <c r="J22" s="2">
        <f>'UPT-Weekday'!J22+'UPT-SatSun'!J22</f>
        <v>12913</v>
      </c>
      <c r="K22" s="2">
        <f>'UPT-Weekday'!K22+'UPT-SatSun'!K22</f>
        <v>11509</v>
      </c>
      <c r="L22" s="2">
        <f>'UPT-Weekday'!L22+'UPT-SatSun'!L22</f>
        <v>18919</v>
      </c>
      <c r="M22" s="2">
        <f>'UPT-Weekday'!M22+'UPT-SatSun'!M22</f>
        <v>0</v>
      </c>
      <c r="N22" s="2">
        <f>'UPT-Weekday'!N22+'UPT-SatSun'!N22</f>
        <v>33713</v>
      </c>
      <c r="O22" s="2">
        <f>'UPT-Weekday'!O22+'UPT-SatSun'!O22</f>
        <v>52820</v>
      </c>
      <c r="P22" s="2">
        <f>'UPT-Weekday'!P22+'UPT-SatSun'!P22</f>
        <v>0</v>
      </c>
      <c r="Q22" s="2">
        <f>'UPT-Weekday'!Q22+'UPT-SatSun'!Q22</f>
        <v>6133</v>
      </c>
      <c r="R22" s="2">
        <f>'UPT-Weekday'!R22+'UPT-SatSun'!R22</f>
        <v>13082</v>
      </c>
      <c r="S22" s="2">
        <f>'UPT-Weekday'!S22+'UPT-SatSun'!S22</f>
        <v>7809</v>
      </c>
      <c r="T22" s="2">
        <f>'UPT-Weekday'!T22+'UPT-SatSun'!T22</f>
        <v>1329</v>
      </c>
      <c r="U22" s="2">
        <f>'UPT-Weekday'!U22+'UPT-SatSun'!U22</f>
        <v>7330</v>
      </c>
      <c r="V22" s="2">
        <f>'UPT-Weekday'!V22+'UPT-SatSun'!V22</f>
        <v>51697</v>
      </c>
      <c r="W22" s="2">
        <f>'UPT-Weekday'!W22+'UPT-SatSun'!W22</f>
        <v>72126</v>
      </c>
      <c r="X22" s="2">
        <f>'UPT-Weekday'!X22+'UPT-SatSun'!X22</f>
        <v>123253</v>
      </c>
      <c r="Y22" s="2">
        <f>'UPT-Weekday'!Y22+'UPT-SatSun'!Y22</f>
        <v>91279</v>
      </c>
      <c r="Z22" s="2">
        <f>'UPT-Weekday'!Z22+'UPT-SatSun'!Z22</f>
        <v>270</v>
      </c>
      <c r="AA22" s="2">
        <f>'UPT-Weekday'!AA22+'UPT-SatSun'!AA22</f>
        <v>0</v>
      </c>
      <c r="AB22" s="2">
        <f>'UPT-Weekday'!AB22+'UPT-SatSun'!AB22</f>
        <v>0</v>
      </c>
      <c r="AC22" s="2">
        <f>'UPT-Weekday'!AC22+'UPT-SatSun'!AC22</f>
        <v>0</v>
      </c>
      <c r="AD22" s="2">
        <f>'UPT-Weekday'!AD22+'UPT-SatSun'!AD22</f>
        <v>2214</v>
      </c>
      <c r="AE22" s="2">
        <f>'UPT-Weekday'!AE22+'UPT-SatSun'!AE22</f>
        <v>7393</v>
      </c>
      <c r="AF22" s="2">
        <f>'UPT-Weekday'!AF22+'UPT-SatSun'!AF22</f>
        <v>5606</v>
      </c>
      <c r="AG22" s="2">
        <f>'UPT-Weekday'!AG22+'UPT-SatSun'!AG22</f>
        <v>3579</v>
      </c>
      <c r="AH22" s="2">
        <f>'UPT-Weekday'!AH22+'UPT-SatSun'!AH22</f>
        <v>2036</v>
      </c>
      <c r="AI22" s="2">
        <f>'UPT-Weekday'!AI22+'UPT-SatSun'!AI22</f>
        <v>652</v>
      </c>
      <c r="AJ22" s="2">
        <f>'UPT-Weekday'!AJ22+'UPT-SatSun'!AJ22</f>
        <v>2982</v>
      </c>
      <c r="AK22" s="2">
        <f>'UPT-Weekday'!AK22+'UPT-SatSun'!AK22</f>
        <v>0</v>
      </c>
      <c r="AL22" s="2">
        <f>'UPT-Weekday'!AL22+'UPT-SatSun'!AL22</f>
        <v>68</v>
      </c>
      <c r="AM22" s="2">
        <f t="shared" si="0"/>
        <v>18532.405405405407</v>
      </c>
      <c r="AN22" s="2"/>
    </row>
    <row r="23" spans="1:40">
      <c r="A23" s="23">
        <v>44805</v>
      </c>
      <c r="B23" s="2">
        <f>'UPT-Weekday'!B23+'UPT-SatSun'!B23</f>
        <v>52199</v>
      </c>
      <c r="C23" s="2">
        <f>'UPT-Weekday'!C23+'UPT-SatSun'!C23</f>
        <v>18815</v>
      </c>
      <c r="D23" s="2">
        <f>'UPT-Weekday'!D23+'UPT-SatSun'!D23</f>
        <v>0</v>
      </c>
      <c r="E23" s="2">
        <f>'UPT-Weekday'!E23+'UPT-SatSun'!E23</f>
        <v>15400</v>
      </c>
      <c r="F23" s="2">
        <f>'UPT-Weekday'!F23+'UPT-SatSun'!F23</f>
        <v>36813</v>
      </c>
      <c r="G23" s="2">
        <f>'UPT-Weekday'!G23+'UPT-SatSun'!G23</f>
        <v>20820</v>
      </c>
      <c r="H23" s="2">
        <f>'UPT-Weekday'!H23+'UPT-SatSun'!H23</f>
        <v>7217</v>
      </c>
      <c r="I23" s="2">
        <f>'UPT-Weekday'!I23+'UPT-SatSun'!I23</f>
        <v>7501</v>
      </c>
      <c r="J23" s="2">
        <f>'UPT-Weekday'!J23+'UPT-SatSun'!J23</f>
        <v>13749</v>
      </c>
      <c r="K23" s="2">
        <f>'UPT-Weekday'!K23+'UPT-SatSun'!K23</f>
        <v>11671</v>
      </c>
      <c r="L23" s="2">
        <f>'UPT-Weekday'!L23+'UPT-SatSun'!L23</f>
        <v>19187</v>
      </c>
      <c r="M23" s="2">
        <f>'UPT-Weekday'!M23+'UPT-SatSun'!M23</f>
        <v>0</v>
      </c>
      <c r="N23" s="2">
        <f>'UPT-Weekday'!N23+'UPT-SatSun'!N23</f>
        <v>32222</v>
      </c>
      <c r="O23" s="2">
        <f>'UPT-Weekday'!O23+'UPT-SatSun'!O23</f>
        <v>51224</v>
      </c>
      <c r="P23" s="2">
        <f>'UPT-Weekday'!P23+'UPT-SatSun'!P23</f>
        <v>0</v>
      </c>
      <c r="Q23" s="2">
        <f>'UPT-Weekday'!Q23+'UPT-SatSun'!Q23</f>
        <v>5883</v>
      </c>
      <c r="R23" s="2">
        <f>'UPT-Weekday'!R23+'UPT-SatSun'!R23</f>
        <v>13931</v>
      </c>
      <c r="S23" s="2">
        <f>'UPT-Weekday'!S23+'UPT-SatSun'!S23</f>
        <v>7234</v>
      </c>
      <c r="T23" s="2">
        <f>'UPT-Weekday'!T23+'UPT-SatSun'!T23</f>
        <v>1209</v>
      </c>
      <c r="U23" s="2">
        <f>'UPT-Weekday'!U23+'UPT-SatSun'!U23</f>
        <v>7176</v>
      </c>
      <c r="V23" s="2">
        <f>'UPT-Weekday'!V23+'UPT-SatSun'!V23</f>
        <v>52319</v>
      </c>
      <c r="W23" s="2">
        <f>'UPT-Weekday'!W23+'UPT-SatSun'!W23</f>
        <v>71426</v>
      </c>
      <c r="X23" s="2">
        <f>'UPT-Weekday'!X23+'UPT-SatSun'!X23</f>
        <v>121576</v>
      </c>
      <c r="Y23" s="2">
        <f>'UPT-Weekday'!Y23+'UPT-SatSun'!Y23</f>
        <v>90867</v>
      </c>
      <c r="Z23" s="2">
        <f>'UPT-Weekday'!Z23+'UPT-SatSun'!Z23</f>
        <v>244</v>
      </c>
      <c r="AA23" s="2">
        <f>'UPT-Weekday'!AA23+'UPT-SatSun'!AA23</f>
        <v>0</v>
      </c>
      <c r="AB23" s="2">
        <f>'UPT-Weekday'!AB23+'UPT-SatSun'!AB23</f>
        <v>0</v>
      </c>
      <c r="AC23" s="2">
        <f>'UPT-Weekday'!AC23+'UPT-SatSun'!AC23</f>
        <v>0</v>
      </c>
      <c r="AD23" s="2">
        <f>'UPT-Weekday'!AD23+'UPT-SatSun'!AD23</f>
        <v>2813</v>
      </c>
      <c r="AE23" s="2">
        <f>'UPT-Weekday'!AE23+'UPT-SatSun'!AE23</f>
        <v>7259</v>
      </c>
      <c r="AF23" s="2">
        <f>'UPT-Weekday'!AF23+'UPT-SatSun'!AF23</f>
        <v>5780</v>
      </c>
      <c r="AG23" s="2">
        <f>'UPT-Weekday'!AG23+'UPT-SatSun'!AG23</f>
        <v>3780</v>
      </c>
      <c r="AH23" s="2">
        <f>'UPT-Weekday'!AH23+'UPT-SatSun'!AH23</f>
        <v>2115</v>
      </c>
      <c r="AI23" s="2">
        <f>'UPT-Weekday'!AI23+'UPT-SatSun'!AI23</f>
        <v>557</v>
      </c>
      <c r="AJ23" s="2">
        <f>'UPT-Weekday'!AJ23+'UPT-SatSun'!AJ23</f>
        <v>2887</v>
      </c>
      <c r="AK23" s="2">
        <f>'UPT-Weekday'!AK23+'UPT-SatSun'!AK23</f>
        <v>0</v>
      </c>
      <c r="AL23" s="2">
        <f>'UPT-Weekday'!AL23+'UPT-SatSun'!AL23</f>
        <v>60</v>
      </c>
      <c r="AM23" s="2">
        <f t="shared" si="0"/>
        <v>18484.702702702703</v>
      </c>
      <c r="AN23" s="2"/>
    </row>
    <row r="24" spans="1:40">
      <c r="A24" s="23">
        <v>44835</v>
      </c>
      <c r="B24" s="2">
        <f>'UPT-Weekday'!B24+'UPT-SatSun'!B24</f>
        <v>52503</v>
      </c>
      <c r="C24" s="2">
        <f>'UPT-Weekday'!C24+'UPT-SatSun'!C24</f>
        <v>18320</v>
      </c>
      <c r="D24" s="2">
        <f>'UPT-Weekday'!D24+'UPT-SatSun'!D24</f>
        <v>0</v>
      </c>
      <c r="E24" s="2">
        <f>'UPT-Weekday'!E24+'UPT-SatSun'!E24</f>
        <v>14841</v>
      </c>
      <c r="F24" s="2">
        <f>'UPT-Weekday'!F24+'UPT-SatSun'!F24</f>
        <v>36291</v>
      </c>
      <c r="G24" s="2">
        <f>'UPT-Weekday'!G24+'UPT-SatSun'!G24</f>
        <v>21313</v>
      </c>
      <c r="H24" s="2">
        <f>'UPT-Weekday'!H24+'UPT-SatSun'!H24</f>
        <v>6862</v>
      </c>
      <c r="I24" s="2">
        <f>'UPT-Weekday'!I24+'UPT-SatSun'!I24</f>
        <v>7520</v>
      </c>
      <c r="J24" s="2">
        <f>'UPT-Weekday'!J24+'UPT-SatSun'!J24</f>
        <v>13464</v>
      </c>
      <c r="K24" s="2">
        <f>'UPT-Weekday'!K24+'UPT-SatSun'!K24</f>
        <v>11889</v>
      </c>
      <c r="L24" s="2">
        <f>'UPT-Weekday'!L24+'UPT-SatSun'!L24</f>
        <v>17971</v>
      </c>
      <c r="M24" s="2">
        <f>'UPT-Weekday'!M24+'UPT-SatSun'!M24</f>
        <v>0</v>
      </c>
      <c r="N24" s="2">
        <f>'UPT-Weekday'!N24+'UPT-SatSun'!N24</f>
        <v>31985</v>
      </c>
      <c r="O24" s="2">
        <f>'UPT-Weekday'!O24+'UPT-SatSun'!O24</f>
        <v>53148</v>
      </c>
      <c r="P24" s="2">
        <f>'UPT-Weekday'!P24+'UPT-SatSun'!P24</f>
        <v>0</v>
      </c>
      <c r="Q24" s="2">
        <f>'UPT-Weekday'!Q24+'UPT-SatSun'!Q24</f>
        <v>6436</v>
      </c>
      <c r="R24" s="2">
        <f>'UPT-Weekday'!R24+'UPT-SatSun'!R24</f>
        <v>13416</v>
      </c>
      <c r="S24" s="2">
        <f>'UPT-Weekday'!S24+'UPT-SatSun'!S24</f>
        <v>8263</v>
      </c>
      <c r="T24" s="2">
        <f>'UPT-Weekday'!T24+'UPT-SatSun'!T24</f>
        <v>1109</v>
      </c>
      <c r="U24" s="2">
        <f>'UPT-Weekday'!U24+'UPT-SatSun'!U24</f>
        <v>7264</v>
      </c>
      <c r="V24" s="2">
        <f>'UPT-Weekday'!V24+'UPT-SatSun'!V24</f>
        <v>50109</v>
      </c>
      <c r="W24" s="2">
        <f>'UPT-Weekday'!W24+'UPT-SatSun'!W24</f>
        <v>72815</v>
      </c>
      <c r="X24" s="2">
        <f>'UPT-Weekday'!X24+'UPT-SatSun'!X24</f>
        <v>120390</v>
      </c>
      <c r="Y24" s="2">
        <f>'UPT-Weekday'!Y24+'UPT-SatSun'!Y24</f>
        <v>89771</v>
      </c>
      <c r="Z24" s="2">
        <f>'UPT-Weekday'!Z24+'UPT-SatSun'!Z24</f>
        <v>311</v>
      </c>
      <c r="AA24" s="2">
        <f>'UPT-Weekday'!AA24+'UPT-SatSun'!AA24</f>
        <v>0</v>
      </c>
      <c r="AB24" s="2">
        <f>'UPT-Weekday'!AB24+'UPT-SatSun'!AB24</f>
        <v>0</v>
      </c>
      <c r="AC24" s="2">
        <f>'UPT-Weekday'!AC24+'UPT-SatSun'!AC24</f>
        <v>0</v>
      </c>
      <c r="AD24" s="2">
        <f>'UPT-Weekday'!AD24+'UPT-SatSun'!AD24</f>
        <v>2525</v>
      </c>
      <c r="AE24" s="2">
        <f>'UPT-Weekday'!AE24+'UPT-SatSun'!AE24</f>
        <v>7395</v>
      </c>
      <c r="AF24" s="2">
        <f>'UPT-Weekday'!AF24+'UPT-SatSun'!AF24</f>
        <v>5459</v>
      </c>
      <c r="AG24" s="2">
        <f>'UPT-Weekday'!AG24+'UPT-SatSun'!AG24</f>
        <v>3568</v>
      </c>
      <c r="AH24" s="2">
        <f>'UPT-Weekday'!AH24+'UPT-SatSun'!AH24</f>
        <v>2240</v>
      </c>
      <c r="AI24" s="2">
        <f>'UPT-Weekday'!AI24+'UPT-SatSun'!AI24</f>
        <v>580</v>
      </c>
      <c r="AJ24" s="2">
        <f>'UPT-Weekday'!AJ24+'UPT-SatSun'!AJ24</f>
        <v>2261</v>
      </c>
      <c r="AK24" s="2">
        <f>'UPT-Weekday'!AK24+'UPT-SatSun'!AK24</f>
        <v>0</v>
      </c>
      <c r="AL24" s="2">
        <f>'UPT-Weekday'!AL24+'UPT-SatSun'!AL24</f>
        <v>124</v>
      </c>
      <c r="AM24" s="2">
        <f t="shared" si="0"/>
        <v>18382.243243243243</v>
      </c>
      <c r="AN24" s="2"/>
    </row>
    <row r="25" spans="1:40">
      <c r="A25" s="23">
        <v>44866</v>
      </c>
      <c r="B25" s="2">
        <f>'UPT-Weekday'!B25+'UPT-SatSun'!B25</f>
        <v>47461</v>
      </c>
      <c r="C25" s="2">
        <f>'UPT-Weekday'!C25+'UPT-SatSun'!C25</f>
        <v>16506</v>
      </c>
      <c r="D25" s="2">
        <f>'UPT-Weekday'!D25+'UPT-SatSun'!D25</f>
        <v>0</v>
      </c>
      <c r="E25" s="2">
        <f>'UPT-Weekday'!E25+'UPT-SatSun'!E25</f>
        <v>13565</v>
      </c>
      <c r="F25" s="2">
        <f>'UPT-Weekday'!F25+'UPT-SatSun'!F25</f>
        <v>31914</v>
      </c>
      <c r="G25" s="2">
        <f>'UPT-Weekday'!G25+'UPT-SatSun'!G25</f>
        <v>20105</v>
      </c>
      <c r="H25" s="2">
        <f>'UPT-Weekday'!H25+'UPT-SatSun'!H25</f>
        <v>6706</v>
      </c>
      <c r="I25" s="2">
        <f>'UPT-Weekday'!I25+'UPT-SatSun'!I25</f>
        <v>6682</v>
      </c>
      <c r="J25" s="2">
        <f>'UPT-Weekday'!J25+'UPT-SatSun'!J25</f>
        <v>12274</v>
      </c>
      <c r="K25" s="2">
        <f>'UPT-Weekday'!K25+'UPT-SatSun'!K25</f>
        <v>10498</v>
      </c>
      <c r="L25" s="2">
        <f>'UPT-Weekday'!L25+'UPT-SatSun'!L25</f>
        <v>16554</v>
      </c>
      <c r="M25" s="2">
        <f>'UPT-Weekday'!M25+'UPT-SatSun'!M25</f>
        <v>0</v>
      </c>
      <c r="N25" s="2">
        <f>'UPT-Weekday'!N25+'UPT-SatSun'!N25</f>
        <v>29584</v>
      </c>
      <c r="O25" s="2">
        <f>'UPT-Weekday'!O25+'UPT-SatSun'!O25</f>
        <v>49081</v>
      </c>
      <c r="P25" s="2">
        <f>'UPT-Weekday'!P25+'UPT-SatSun'!P25</f>
        <v>0</v>
      </c>
      <c r="Q25" s="2">
        <f>'UPT-Weekday'!Q25+'UPT-SatSun'!Q25</f>
        <v>6158</v>
      </c>
      <c r="R25" s="2">
        <f>'UPT-Weekday'!R25+'UPT-SatSun'!R25</f>
        <v>12300</v>
      </c>
      <c r="S25" s="2">
        <f>'UPT-Weekday'!S25+'UPT-SatSun'!S25</f>
        <v>7607</v>
      </c>
      <c r="T25" s="2">
        <f>'UPT-Weekday'!T25+'UPT-SatSun'!T25</f>
        <v>1090</v>
      </c>
      <c r="U25" s="2">
        <f>'UPT-Weekday'!U25+'UPT-SatSun'!U25</f>
        <v>6581</v>
      </c>
      <c r="V25" s="2">
        <f>'UPT-Weekday'!V25+'UPT-SatSun'!V25</f>
        <v>46661</v>
      </c>
      <c r="W25" s="2">
        <f>'UPT-Weekday'!W25+'UPT-SatSun'!W25</f>
        <v>64926</v>
      </c>
      <c r="X25" s="2">
        <f>'UPT-Weekday'!X25+'UPT-SatSun'!X25</f>
        <v>110709</v>
      </c>
      <c r="Y25" s="2">
        <f>'UPT-Weekday'!Y25+'UPT-SatSun'!Y25</f>
        <v>84511</v>
      </c>
      <c r="Z25" s="2">
        <f>'UPT-Weekday'!Z25+'UPT-SatSun'!Z25</f>
        <v>308</v>
      </c>
      <c r="AA25" s="2">
        <f>'UPT-Weekday'!AA25+'UPT-SatSun'!AA25</f>
        <v>0</v>
      </c>
      <c r="AB25" s="2">
        <f>'UPT-Weekday'!AB25+'UPT-SatSun'!AB25</f>
        <v>0</v>
      </c>
      <c r="AC25" s="2">
        <f>'UPT-Weekday'!AC25+'UPT-SatSun'!AC25</f>
        <v>0</v>
      </c>
      <c r="AD25" s="2">
        <f>'UPT-Weekday'!AD25+'UPT-SatSun'!AD25</f>
        <v>2181</v>
      </c>
      <c r="AE25" s="2">
        <f>'UPT-Weekday'!AE25+'UPT-SatSun'!AE25</f>
        <v>6537</v>
      </c>
      <c r="AF25" s="2">
        <f>'UPT-Weekday'!AF25+'UPT-SatSun'!AF25</f>
        <v>4997</v>
      </c>
      <c r="AG25" s="2">
        <f>'UPT-Weekday'!AG25+'UPT-SatSun'!AG25</f>
        <v>3289</v>
      </c>
      <c r="AH25" s="2">
        <f>'UPT-Weekday'!AH25+'UPT-SatSun'!AH25</f>
        <v>2124</v>
      </c>
      <c r="AI25" s="2">
        <f>'UPT-Weekday'!AI25+'UPT-SatSun'!AI25</f>
        <v>649</v>
      </c>
      <c r="AJ25" s="2">
        <f>'UPT-Weekday'!AJ25+'UPT-SatSun'!AJ25</f>
        <v>2320</v>
      </c>
      <c r="AK25" s="2">
        <f>'UPT-Weekday'!AK25+'UPT-SatSun'!AK25</f>
        <v>0</v>
      </c>
      <c r="AL25" s="2">
        <f>'UPT-Weekday'!AL25+'UPT-SatSun'!AL25</f>
        <v>221</v>
      </c>
      <c r="AM25" s="2">
        <f t="shared" si="0"/>
        <v>16867.54054054054</v>
      </c>
      <c r="AN25" s="2"/>
    </row>
    <row r="26" spans="1:40">
      <c r="A26" s="23">
        <v>44896</v>
      </c>
      <c r="B26" s="2">
        <f>'UPT-Weekday'!B26+'UPT-SatSun'!B26</f>
        <v>41020</v>
      </c>
      <c r="C26" s="2">
        <f>'UPT-Weekday'!C26+'UPT-SatSun'!C26</f>
        <v>15181</v>
      </c>
      <c r="D26" s="2">
        <f>'UPT-Weekday'!D26+'UPT-SatSun'!D26</f>
        <v>0</v>
      </c>
      <c r="E26" s="2">
        <f>'UPT-Weekday'!E26+'UPT-SatSun'!E26</f>
        <v>12335</v>
      </c>
      <c r="F26" s="2">
        <f>'UPT-Weekday'!F26+'UPT-SatSun'!F26</f>
        <v>28586</v>
      </c>
      <c r="G26" s="2">
        <f>'UPT-Weekday'!G26+'UPT-SatSun'!G26</f>
        <v>20005</v>
      </c>
      <c r="H26" s="2">
        <f>'UPT-Weekday'!H26+'UPT-SatSun'!H26</f>
        <v>6475</v>
      </c>
      <c r="I26" s="2">
        <f>'UPT-Weekday'!I26+'UPT-SatSun'!I26</f>
        <v>6044</v>
      </c>
      <c r="J26" s="2">
        <f>'UPT-Weekday'!J26+'UPT-SatSun'!J26</f>
        <v>10385</v>
      </c>
      <c r="K26" s="2">
        <f>'UPT-Weekday'!K26+'UPT-SatSun'!K26</f>
        <v>9322</v>
      </c>
      <c r="L26" s="2">
        <f>'UPT-Weekday'!L26+'UPT-SatSun'!L26</f>
        <v>14679</v>
      </c>
      <c r="M26" s="2">
        <f>'UPT-Weekday'!M26+'UPT-SatSun'!M26</f>
        <v>0</v>
      </c>
      <c r="N26" s="2">
        <f>'UPT-Weekday'!N26+'UPT-SatSun'!N26</f>
        <v>27970</v>
      </c>
      <c r="O26" s="2">
        <f>'UPT-Weekday'!O26+'UPT-SatSun'!O26</f>
        <v>48234</v>
      </c>
      <c r="P26" s="2">
        <f>'UPT-Weekday'!P26+'UPT-SatSun'!P26</f>
        <v>0</v>
      </c>
      <c r="Q26" s="2">
        <f>'UPT-Weekday'!Q26+'UPT-SatSun'!Q26</f>
        <v>5596</v>
      </c>
      <c r="R26" s="2">
        <f>'UPT-Weekday'!R26+'UPT-SatSun'!R26</f>
        <v>10743</v>
      </c>
      <c r="S26" s="2">
        <f>'UPT-Weekday'!S26+'UPT-SatSun'!S26</f>
        <v>8031</v>
      </c>
      <c r="T26" s="2">
        <f>'UPT-Weekday'!T26+'UPT-SatSun'!T26</f>
        <v>980</v>
      </c>
      <c r="U26" s="2">
        <f>'UPT-Weekday'!U26+'UPT-SatSun'!U26</f>
        <v>6237</v>
      </c>
      <c r="V26" s="2">
        <f>'UPT-Weekday'!V26+'UPT-SatSun'!V26</f>
        <v>42557</v>
      </c>
      <c r="W26" s="2">
        <f>'UPT-Weekday'!W26+'UPT-SatSun'!W26</f>
        <v>62597</v>
      </c>
      <c r="X26" s="2">
        <f>'UPT-Weekday'!X26+'UPT-SatSun'!X26</f>
        <v>100409</v>
      </c>
      <c r="Y26" s="2">
        <f>'UPT-Weekday'!Y26+'UPT-SatSun'!Y26</f>
        <v>78799</v>
      </c>
      <c r="Z26" s="2">
        <f>'UPT-Weekday'!Z26+'UPT-SatSun'!Z26</f>
        <v>219</v>
      </c>
      <c r="AA26" s="2">
        <f>'UPT-Weekday'!AA26+'UPT-SatSun'!AA26</f>
        <v>0</v>
      </c>
      <c r="AB26" s="2">
        <f>'UPT-Weekday'!AB26+'UPT-SatSun'!AB26</f>
        <v>0</v>
      </c>
      <c r="AC26" s="2">
        <f>'UPT-Weekday'!AC26+'UPT-SatSun'!AC26</f>
        <v>0</v>
      </c>
      <c r="AD26" s="2">
        <f>'UPT-Weekday'!AD26+'UPT-SatSun'!AD26</f>
        <v>1345</v>
      </c>
      <c r="AE26" s="2">
        <f>'UPT-Weekday'!AE26+'UPT-SatSun'!AE26</f>
        <v>6168</v>
      </c>
      <c r="AF26" s="2">
        <f>'UPT-Weekday'!AF26+'UPT-SatSun'!AF26</f>
        <v>4640</v>
      </c>
      <c r="AG26" s="2">
        <f>'UPT-Weekday'!AG26+'UPT-SatSun'!AG26</f>
        <v>3211</v>
      </c>
      <c r="AH26" s="2">
        <f>'UPT-Weekday'!AH26+'UPT-SatSun'!AH26</f>
        <v>1665</v>
      </c>
      <c r="AI26" s="2">
        <f>'UPT-Weekday'!AI26+'UPT-SatSun'!AI26</f>
        <v>396</v>
      </c>
      <c r="AJ26" s="2">
        <f>'UPT-Weekday'!AJ26+'UPT-SatSun'!AJ26</f>
        <v>1816</v>
      </c>
      <c r="AK26" s="2">
        <f>'UPT-Weekday'!AK26+'UPT-SatSun'!AK26</f>
        <v>0</v>
      </c>
      <c r="AL26" s="2">
        <f>'UPT-Weekday'!AL26+'UPT-SatSun'!AL26</f>
        <v>229</v>
      </c>
      <c r="AM26" s="2">
        <f t="shared" si="0"/>
        <v>15564.162162162162</v>
      </c>
      <c r="AN26" s="2"/>
    </row>
    <row r="27" spans="1:40">
      <c r="A27" s="23">
        <v>44927</v>
      </c>
      <c r="B27" s="2">
        <f>'UPT-Weekday'!B27+'UPT-SatSun'!B27</f>
        <v>41625</v>
      </c>
      <c r="C27" s="2">
        <f>'UPT-Weekday'!C27+'UPT-SatSun'!C27</f>
        <v>14654</v>
      </c>
      <c r="D27" s="2">
        <f>'UPT-Weekday'!D27+'UPT-SatSun'!D27</f>
        <v>0</v>
      </c>
      <c r="E27" s="2">
        <f>'UPT-Weekday'!E27+'UPT-SatSun'!E27</f>
        <v>13295</v>
      </c>
      <c r="F27" s="2">
        <f>'UPT-Weekday'!F27+'UPT-SatSun'!F27</f>
        <v>29534</v>
      </c>
      <c r="G27" s="2">
        <f>'UPT-Weekday'!G27+'UPT-SatSun'!G27</f>
        <v>18817</v>
      </c>
      <c r="H27" s="2">
        <f>'UPT-Weekday'!H27+'UPT-SatSun'!H27</f>
        <v>6068</v>
      </c>
      <c r="I27" s="2">
        <f>'UPT-Weekday'!I27+'UPT-SatSun'!I27</f>
        <v>6472</v>
      </c>
      <c r="J27" s="2">
        <f>'UPT-Weekday'!J27+'UPT-SatSun'!J27</f>
        <v>10974</v>
      </c>
      <c r="K27" s="2">
        <f>'UPT-Weekday'!K27+'UPT-SatSun'!K27</f>
        <v>8371</v>
      </c>
      <c r="L27" s="2">
        <f>'UPT-Weekday'!L27+'UPT-SatSun'!L27</f>
        <v>15432</v>
      </c>
      <c r="M27" s="2">
        <f>'UPT-Weekday'!M27+'UPT-SatSun'!M27</f>
        <v>0</v>
      </c>
      <c r="N27" s="2">
        <f>'UPT-Weekday'!N27+'UPT-SatSun'!N27</f>
        <v>28594</v>
      </c>
      <c r="O27" s="2">
        <f>'UPT-Weekday'!O27+'UPT-SatSun'!O27</f>
        <v>46812</v>
      </c>
      <c r="P27" s="2">
        <f>'UPT-Weekday'!P27+'UPT-SatSun'!P27</f>
        <v>0</v>
      </c>
      <c r="Q27" s="2">
        <f>'UPT-Weekday'!Q27+'UPT-SatSun'!Q27</f>
        <v>5690</v>
      </c>
      <c r="R27" s="2">
        <f>'UPT-Weekday'!R27+'UPT-SatSun'!R27</f>
        <v>11051</v>
      </c>
      <c r="S27" s="2">
        <f>'UPT-Weekday'!S27+'UPT-SatSun'!S27</f>
        <v>5660</v>
      </c>
      <c r="T27" s="2">
        <f>'UPT-Weekday'!T27+'UPT-SatSun'!T27</f>
        <v>1044</v>
      </c>
      <c r="U27" s="2">
        <f>'UPT-Weekday'!U27+'UPT-SatSun'!U27</f>
        <v>5643</v>
      </c>
      <c r="V27" s="2">
        <f>'UPT-Weekday'!V27+'UPT-SatSun'!V27</f>
        <v>42270</v>
      </c>
      <c r="W27" s="2">
        <f>'UPT-Weekday'!W27+'UPT-SatSun'!W27</f>
        <v>59773</v>
      </c>
      <c r="X27" s="2">
        <f>'UPT-Weekday'!X27+'UPT-SatSun'!X27</f>
        <v>98706</v>
      </c>
      <c r="Y27" s="2">
        <f>'UPT-Weekday'!Y27+'UPT-SatSun'!Y27</f>
        <v>78704</v>
      </c>
      <c r="Z27" s="2">
        <f>'UPT-Weekday'!Z27+'UPT-SatSun'!Z27</f>
        <v>339</v>
      </c>
      <c r="AA27" s="2">
        <f>'UPT-Weekday'!AA27+'UPT-SatSun'!AA27</f>
        <v>0</v>
      </c>
      <c r="AB27" s="2">
        <f>'UPT-Weekday'!AB27+'UPT-SatSun'!AB27</f>
        <v>0</v>
      </c>
      <c r="AC27" s="2">
        <f>'UPT-Weekday'!AC27+'UPT-SatSun'!AC27</f>
        <v>0</v>
      </c>
      <c r="AD27" s="2">
        <f>'UPT-Weekday'!AD27+'UPT-SatSun'!AD27</f>
        <v>1842</v>
      </c>
      <c r="AE27" s="2">
        <f>'UPT-Weekday'!AE27+'UPT-SatSun'!AE27</f>
        <v>5913</v>
      </c>
      <c r="AF27" s="2">
        <f>'UPT-Weekday'!AF27+'UPT-SatSun'!AF27</f>
        <v>4419</v>
      </c>
      <c r="AG27" s="2">
        <f>'UPT-Weekday'!AG27+'UPT-SatSun'!AG27</f>
        <v>3070</v>
      </c>
      <c r="AH27" s="2">
        <f>'UPT-Weekday'!AH27+'UPT-SatSun'!AH27</f>
        <v>1966</v>
      </c>
      <c r="AI27" s="2">
        <f>'UPT-Weekday'!AI27+'UPT-SatSun'!AI27</f>
        <v>544</v>
      </c>
      <c r="AJ27" s="2">
        <f>'UPT-Weekday'!AJ27+'UPT-SatSun'!AJ27</f>
        <v>2247</v>
      </c>
      <c r="AK27" s="2">
        <f>'UPT-Weekday'!AK27+'UPT-SatSun'!AK27</f>
        <v>0</v>
      </c>
      <c r="AL27" s="2">
        <f>'UPT-Weekday'!AL27+'UPT-SatSun'!AL27</f>
        <v>0</v>
      </c>
      <c r="AM27" s="2">
        <f t="shared" si="0"/>
        <v>15392.675675675675</v>
      </c>
      <c r="AN27" s="2"/>
    </row>
    <row r="28" spans="1:40">
      <c r="A28" s="23">
        <v>44958</v>
      </c>
      <c r="B28" s="2">
        <f>'UPT-Weekday'!B28+'UPT-SatSun'!B28</f>
        <v>42931</v>
      </c>
      <c r="C28" s="2">
        <f>'UPT-Weekday'!C28+'UPT-SatSun'!C28</f>
        <v>15150</v>
      </c>
      <c r="D28" s="2">
        <f>'UPT-Weekday'!D28+'UPT-SatSun'!D28</f>
        <v>0</v>
      </c>
      <c r="E28" s="2">
        <f>'UPT-Weekday'!E28+'UPT-SatSun'!E28</f>
        <v>13845</v>
      </c>
      <c r="F28" s="2">
        <f>'UPT-Weekday'!F28+'UPT-SatSun'!F28</f>
        <v>29904</v>
      </c>
      <c r="G28" s="2">
        <f>'UPT-Weekday'!G28+'UPT-SatSun'!G28</f>
        <v>19720</v>
      </c>
      <c r="H28" s="2">
        <f>'UPT-Weekday'!H28+'UPT-SatSun'!H28</f>
        <v>6145</v>
      </c>
      <c r="I28" s="2">
        <f>'UPT-Weekday'!I28+'UPT-SatSun'!I28</f>
        <v>6252</v>
      </c>
      <c r="J28" s="2">
        <f>'UPT-Weekday'!J28+'UPT-SatSun'!J28</f>
        <v>11002</v>
      </c>
      <c r="K28" s="2">
        <f>'UPT-Weekday'!K28+'UPT-SatSun'!K28</f>
        <v>8970</v>
      </c>
      <c r="L28" s="2">
        <f>'UPT-Weekday'!L28+'UPT-SatSun'!L28</f>
        <v>16283</v>
      </c>
      <c r="M28" s="2">
        <f>'UPT-Weekday'!M28+'UPT-SatSun'!M28</f>
        <v>0</v>
      </c>
      <c r="N28" s="2">
        <f>'UPT-Weekday'!N28+'UPT-SatSun'!N28</f>
        <v>27793</v>
      </c>
      <c r="O28" s="2">
        <f>'UPT-Weekday'!O28+'UPT-SatSun'!O28</f>
        <v>47904</v>
      </c>
      <c r="P28" s="2">
        <f>'UPT-Weekday'!P28+'UPT-SatSun'!P28</f>
        <v>0</v>
      </c>
      <c r="Q28" s="2">
        <f>'UPT-Weekday'!Q28+'UPT-SatSun'!Q28</f>
        <v>5327</v>
      </c>
      <c r="R28" s="2">
        <f>'UPT-Weekday'!R28+'UPT-SatSun'!R28</f>
        <v>11865</v>
      </c>
      <c r="S28" s="2">
        <f>'UPT-Weekday'!S28+'UPT-SatSun'!S28</f>
        <v>5442</v>
      </c>
      <c r="T28" s="2">
        <f>'UPT-Weekday'!T28+'UPT-SatSun'!T28</f>
        <v>1072</v>
      </c>
      <c r="U28" s="2">
        <f>'UPT-Weekday'!U28+'UPT-SatSun'!U28</f>
        <v>5621</v>
      </c>
      <c r="V28" s="2">
        <f>'UPT-Weekday'!V28+'UPT-SatSun'!V28</f>
        <v>42316</v>
      </c>
      <c r="W28" s="2">
        <f>'UPT-Weekday'!W28+'UPT-SatSun'!W28</f>
        <v>60678</v>
      </c>
      <c r="X28" s="2">
        <f>'UPT-Weekday'!X28+'UPT-SatSun'!X28</f>
        <v>101825</v>
      </c>
      <c r="Y28" s="2">
        <f>'UPT-Weekday'!Y28+'UPT-SatSun'!Y28</f>
        <v>81912</v>
      </c>
      <c r="Z28" s="2">
        <f>'UPT-Weekday'!Z28+'UPT-SatSun'!Z28</f>
        <v>377</v>
      </c>
      <c r="AA28" s="2">
        <f>'UPT-Weekday'!AA28+'UPT-SatSun'!AA28</f>
        <v>0</v>
      </c>
      <c r="AB28" s="2">
        <f>'UPT-Weekday'!AB28+'UPT-SatSun'!AB28</f>
        <v>0</v>
      </c>
      <c r="AC28" s="2">
        <f>'UPT-Weekday'!AC28+'UPT-SatSun'!AC28</f>
        <v>0</v>
      </c>
      <c r="AD28" s="2">
        <f>'UPT-Weekday'!AD28+'UPT-SatSun'!AD28</f>
        <v>2195</v>
      </c>
      <c r="AE28" s="2">
        <f>'UPT-Weekday'!AE28+'UPT-SatSun'!AE28</f>
        <v>5937</v>
      </c>
      <c r="AF28" s="2">
        <f>'UPT-Weekday'!AF28+'UPT-SatSun'!AF28</f>
        <v>4678</v>
      </c>
      <c r="AG28" s="2">
        <f>'UPT-Weekday'!AG28+'UPT-SatSun'!AG28</f>
        <v>3360</v>
      </c>
      <c r="AH28" s="2">
        <f>'UPT-Weekday'!AH28+'UPT-SatSun'!AH28</f>
        <v>2135</v>
      </c>
      <c r="AI28" s="2">
        <f>'UPT-Weekday'!AI28+'UPT-SatSun'!AI28</f>
        <v>522</v>
      </c>
      <c r="AJ28" s="2">
        <f>'UPT-Weekday'!AJ28+'UPT-SatSun'!AJ28</f>
        <v>2203</v>
      </c>
      <c r="AK28" s="2">
        <f>'UPT-Weekday'!AK28+'UPT-SatSun'!AK28</f>
        <v>0</v>
      </c>
      <c r="AL28" s="2">
        <f>'UPT-Weekday'!AL28+'UPT-SatSun'!AL28</f>
        <v>0</v>
      </c>
      <c r="AM28" s="2">
        <f t="shared" si="0"/>
        <v>15766.594594594595</v>
      </c>
      <c r="AN28" s="2"/>
    </row>
    <row r="29" spans="1:40">
      <c r="A29" s="23">
        <v>44986</v>
      </c>
      <c r="B29" s="2">
        <f>'UPT-Weekday'!B29+'UPT-SatSun'!B29</f>
        <v>48370</v>
      </c>
      <c r="C29" s="2">
        <f>'UPT-Weekday'!C29+'UPT-SatSun'!C29</f>
        <v>17311</v>
      </c>
      <c r="D29" s="2">
        <f>'UPT-Weekday'!D29+'UPT-SatSun'!D29</f>
        <v>0</v>
      </c>
      <c r="E29" s="2">
        <f>'UPT-Weekday'!E29+'UPT-SatSun'!E29</f>
        <v>16175</v>
      </c>
      <c r="F29" s="2">
        <f>'UPT-Weekday'!F29+'UPT-SatSun'!F29</f>
        <v>32722</v>
      </c>
      <c r="G29" s="2">
        <f>'UPT-Weekday'!G29+'UPT-SatSun'!G29</f>
        <v>22087</v>
      </c>
      <c r="H29" s="2">
        <f>'UPT-Weekday'!H29+'UPT-SatSun'!H29</f>
        <v>7079</v>
      </c>
      <c r="I29" s="2">
        <f>'UPT-Weekday'!I29+'UPT-SatSun'!I29</f>
        <v>6978</v>
      </c>
      <c r="J29" s="2">
        <f>'UPT-Weekday'!J29+'UPT-SatSun'!J29</f>
        <v>12248</v>
      </c>
      <c r="K29" s="2">
        <f>'UPT-Weekday'!K29+'UPT-SatSun'!K29</f>
        <v>10818</v>
      </c>
      <c r="L29" s="2">
        <f>'UPT-Weekday'!L29+'UPT-SatSun'!L29</f>
        <v>18357</v>
      </c>
      <c r="M29" s="2">
        <f>'UPT-Weekday'!M29+'UPT-SatSun'!M29</f>
        <v>0</v>
      </c>
      <c r="N29" s="2">
        <f>'UPT-Weekday'!N29+'UPT-SatSun'!N29</f>
        <v>31043</v>
      </c>
      <c r="O29" s="2">
        <f>'UPT-Weekday'!O29+'UPT-SatSun'!O29</f>
        <v>53620</v>
      </c>
      <c r="P29" s="2">
        <f>'UPT-Weekday'!P29+'UPT-SatSun'!P29</f>
        <v>0</v>
      </c>
      <c r="Q29" s="2">
        <f>'UPT-Weekday'!Q29+'UPT-SatSun'!Q29</f>
        <v>5752</v>
      </c>
      <c r="R29" s="2">
        <f>'UPT-Weekday'!R29+'UPT-SatSun'!R29</f>
        <v>13399</v>
      </c>
      <c r="S29" s="2">
        <f>'UPT-Weekday'!S29+'UPT-SatSun'!S29</f>
        <v>6949</v>
      </c>
      <c r="T29" s="2">
        <f>'UPT-Weekday'!T29+'UPT-SatSun'!T29</f>
        <v>1130</v>
      </c>
      <c r="U29" s="2">
        <f>'UPT-Weekday'!U29+'UPT-SatSun'!U29</f>
        <v>7148</v>
      </c>
      <c r="V29" s="2">
        <f>'UPT-Weekday'!V29+'UPT-SatSun'!V29</f>
        <v>47494</v>
      </c>
      <c r="W29" s="2">
        <f>'UPT-Weekday'!W29+'UPT-SatSun'!W29</f>
        <v>72006</v>
      </c>
      <c r="X29" s="2">
        <f>'UPT-Weekday'!X29+'UPT-SatSun'!X29</f>
        <v>118622</v>
      </c>
      <c r="Y29" s="2">
        <f>'UPT-Weekday'!Y29+'UPT-SatSun'!Y29</f>
        <v>91342</v>
      </c>
      <c r="Z29" s="2">
        <f>'UPT-Weekday'!Z29+'UPT-SatSun'!Z29</f>
        <v>422</v>
      </c>
      <c r="AA29" s="2">
        <f>'UPT-Weekday'!AA29+'UPT-SatSun'!AA29</f>
        <v>0</v>
      </c>
      <c r="AB29" s="2">
        <f>'UPT-Weekday'!AB29+'UPT-SatSun'!AB29</f>
        <v>0</v>
      </c>
      <c r="AC29" s="2">
        <f>'UPT-Weekday'!AC29+'UPT-SatSun'!AC29</f>
        <v>0</v>
      </c>
      <c r="AD29" s="2">
        <f>'UPT-Weekday'!AD29+'UPT-SatSun'!AD29</f>
        <v>2093</v>
      </c>
      <c r="AE29" s="2">
        <f>'UPT-Weekday'!AE29+'UPT-SatSun'!AE29</f>
        <v>6639</v>
      </c>
      <c r="AF29" s="2">
        <f>'UPT-Weekday'!AF29+'UPT-SatSun'!AF29</f>
        <v>5449</v>
      </c>
      <c r="AG29" s="2">
        <f>'UPT-Weekday'!AG29+'UPT-SatSun'!AG29</f>
        <v>3735</v>
      </c>
      <c r="AH29" s="2">
        <f>'UPT-Weekday'!AH29+'UPT-SatSun'!AH29</f>
        <v>2330</v>
      </c>
      <c r="AI29" s="2">
        <f>'UPT-Weekday'!AI29+'UPT-SatSun'!AI29</f>
        <v>599</v>
      </c>
      <c r="AJ29" s="2">
        <f>'UPT-Weekday'!AJ29+'UPT-SatSun'!AJ29</f>
        <v>2551</v>
      </c>
      <c r="AK29" s="2">
        <f>'UPT-Weekday'!AK29+'UPT-SatSun'!AK29</f>
        <v>0</v>
      </c>
      <c r="AL29" s="2">
        <f>'UPT-Weekday'!AL29+'UPT-SatSun'!AL29</f>
        <v>0</v>
      </c>
      <c r="AM29" s="2">
        <f t="shared" si="0"/>
        <v>17958.594594594593</v>
      </c>
      <c r="AN29" s="2"/>
    </row>
    <row r="30" spans="1:40">
      <c r="A30" s="23">
        <v>45017</v>
      </c>
      <c r="B30" s="2">
        <f>'UPT-Weekday'!B30+'UPT-SatSun'!B30</f>
        <v>47617</v>
      </c>
      <c r="C30" s="2">
        <f>'UPT-Weekday'!C30+'UPT-SatSun'!C30</f>
        <v>15685</v>
      </c>
      <c r="D30" s="2">
        <f>'UPT-Weekday'!D30+'UPT-SatSun'!D30</f>
        <v>0</v>
      </c>
      <c r="E30" s="2">
        <f>'UPT-Weekday'!E30+'UPT-SatSun'!E30</f>
        <v>14676</v>
      </c>
      <c r="F30" s="2">
        <f>'UPT-Weekday'!F30+'UPT-SatSun'!F30</f>
        <v>32141</v>
      </c>
      <c r="G30" s="2">
        <f>'UPT-Weekday'!G30+'UPT-SatSun'!G30</f>
        <v>20359</v>
      </c>
      <c r="H30" s="2">
        <f>'UPT-Weekday'!H30+'UPT-SatSun'!H30</f>
        <v>6335</v>
      </c>
      <c r="I30" s="2">
        <f>'UPT-Weekday'!I30+'UPT-SatSun'!I30</f>
        <v>6837</v>
      </c>
      <c r="J30" s="2">
        <f>'UPT-Weekday'!J30+'UPT-SatSun'!J30</f>
        <v>12569</v>
      </c>
      <c r="K30" s="2">
        <f>'UPT-Weekday'!K30+'UPT-SatSun'!K30</f>
        <v>10495</v>
      </c>
      <c r="L30" s="2">
        <f>'UPT-Weekday'!L30+'UPT-SatSun'!L30</f>
        <v>16953</v>
      </c>
      <c r="M30" s="2">
        <f>'UPT-Weekday'!M30+'UPT-SatSun'!M30</f>
        <v>0</v>
      </c>
      <c r="N30" s="2">
        <f>'UPT-Weekday'!N30+'UPT-SatSun'!N30</f>
        <v>29770</v>
      </c>
      <c r="O30" s="2">
        <f>'UPT-Weekday'!O30+'UPT-SatSun'!O30</f>
        <v>50463</v>
      </c>
      <c r="P30" s="2">
        <f>'UPT-Weekday'!P30+'UPT-SatSun'!P30</f>
        <v>0</v>
      </c>
      <c r="Q30" s="2">
        <f>'UPT-Weekday'!Q30+'UPT-SatSun'!Q30</f>
        <v>5373</v>
      </c>
      <c r="R30" s="2">
        <f>'UPT-Weekday'!R30+'UPT-SatSun'!R30</f>
        <v>13015</v>
      </c>
      <c r="S30" s="2">
        <f>'UPT-Weekday'!S30+'UPT-SatSun'!S30</f>
        <v>6650</v>
      </c>
      <c r="T30" s="2">
        <f>'UPT-Weekday'!T30+'UPT-SatSun'!T30</f>
        <v>919</v>
      </c>
      <c r="U30" s="2">
        <f>'UPT-Weekday'!U30+'UPT-SatSun'!U30</f>
        <v>6745</v>
      </c>
      <c r="V30" s="2">
        <f>'UPT-Weekday'!V30+'UPT-SatSun'!V30</f>
        <v>47796</v>
      </c>
      <c r="W30" s="2">
        <f>'UPT-Weekday'!W30+'UPT-SatSun'!W30</f>
        <v>69681</v>
      </c>
      <c r="X30" s="2">
        <f>'UPT-Weekday'!X30+'UPT-SatSun'!X30</f>
        <v>111376</v>
      </c>
      <c r="Y30" s="2">
        <f>'UPT-Weekday'!Y30+'UPT-SatSun'!Y30</f>
        <v>85892</v>
      </c>
      <c r="Z30" s="2">
        <f>'UPT-Weekday'!Z30+'UPT-SatSun'!Z30</f>
        <v>348</v>
      </c>
      <c r="AA30" s="2">
        <f>'UPT-Weekday'!AA30+'UPT-SatSun'!AA30</f>
        <v>0</v>
      </c>
      <c r="AB30" s="2">
        <f>'UPT-Weekday'!AB30+'UPT-SatSun'!AB30</f>
        <v>0</v>
      </c>
      <c r="AC30" s="2">
        <f>'UPT-Weekday'!AC30+'UPT-SatSun'!AC30</f>
        <v>0</v>
      </c>
      <c r="AD30" s="2">
        <f>'UPT-Weekday'!AD30+'UPT-SatSun'!AD30</f>
        <v>1908</v>
      </c>
      <c r="AE30" s="2">
        <f>'UPT-Weekday'!AE30+'UPT-SatSun'!AE30</f>
        <v>6657</v>
      </c>
      <c r="AF30" s="2">
        <f>'UPT-Weekday'!AF30+'UPT-SatSun'!AF30</f>
        <v>5460</v>
      </c>
      <c r="AG30" s="2">
        <f>'UPT-Weekday'!AG30+'UPT-SatSun'!AG30</f>
        <v>3931</v>
      </c>
      <c r="AH30" s="2">
        <f>'UPT-Weekday'!AH30+'UPT-SatSun'!AH30</f>
        <v>2049</v>
      </c>
      <c r="AI30" s="2">
        <f>'UPT-Weekday'!AI30+'UPT-SatSun'!AI30</f>
        <v>573</v>
      </c>
      <c r="AJ30" s="2">
        <f>'UPT-Weekday'!AJ30+'UPT-SatSun'!AJ30</f>
        <v>2861</v>
      </c>
      <c r="AK30" s="2">
        <f>'UPT-Weekday'!AK30+'UPT-SatSun'!AK30</f>
        <v>0</v>
      </c>
      <c r="AL30" s="2">
        <f>'UPT-Weekday'!AL30+'UPT-SatSun'!AL30</f>
        <v>0</v>
      </c>
      <c r="AM30" s="2">
        <f t="shared" si="0"/>
        <v>17165.783783783783</v>
      </c>
      <c r="AN30" s="2"/>
    </row>
    <row r="31" spans="1:40">
      <c r="A31" s="23">
        <v>45047</v>
      </c>
      <c r="B31" s="2">
        <f>'UPT-Weekday'!B31+'UPT-SatSun'!B31</f>
        <v>51939</v>
      </c>
      <c r="C31" s="2">
        <f>'UPT-Weekday'!C31+'UPT-SatSun'!C31</f>
        <v>17148</v>
      </c>
      <c r="D31" s="2">
        <f>'UPT-Weekday'!D31+'UPT-SatSun'!D31</f>
        <v>0</v>
      </c>
      <c r="E31" s="2">
        <f>'UPT-Weekday'!E31+'UPT-SatSun'!E31</f>
        <v>15860</v>
      </c>
      <c r="F31" s="2">
        <f>'UPT-Weekday'!F31+'UPT-SatSun'!F31</f>
        <v>34368</v>
      </c>
      <c r="G31" s="2">
        <f>'UPT-Weekday'!G31+'UPT-SatSun'!G31</f>
        <v>22029</v>
      </c>
      <c r="H31" s="2">
        <f>'UPT-Weekday'!H31+'UPT-SatSun'!H31</f>
        <v>7084</v>
      </c>
      <c r="I31" s="2">
        <f>'UPT-Weekday'!I31+'UPT-SatSun'!I31</f>
        <v>7108</v>
      </c>
      <c r="J31" s="2">
        <f>'UPT-Weekday'!J31+'UPT-SatSun'!J31</f>
        <v>12945</v>
      </c>
      <c r="K31" s="2">
        <f>'UPT-Weekday'!K31+'UPT-SatSun'!K31</f>
        <v>12336</v>
      </c>
      <c r="L31" s="2">
        <f>'UPT-Weekday'!L31+'UPT-SatSun'!L31</f>
        <v>18755</v>
      </c>
      <c r="M31" s="2">
        <f>'UPT-Weekday'!M31+'UPT-SatSun'!M31</f>
        <v>0</v>
      </c>
      <c r="N31" s="2">
        <f>'UPT-Weekday'!N31+'UPT-SatSun'!N31</f>
        <v>31850</v>
      </c>
      <c r="O31" s="2">
        <f>'UPT-Weekday'!O31+'UPT-SatSun'!O31</f>
        <v>56497</v>
      </c>
      <c r="P31" s="2">
        <f>'UPT-Weekday'!P31+'UPT-SatSun'!P31</f>
        <v>0</v>
      </c>
      <c r="Q31" s="2">
        <f>'UPT-Weekday'!Q31+'UPT-SatSun'!Q31</f>
        <v>6192</v>
      </c>
      <c r="R31" s="2">
        <f>'UPT-Weekday'!R31+'UPT-SatSun'!R31</f>
        <v>14235</v>
      </c>
      <c r="S31" s="2">
        <f>'UPT-Weekday'!S31+'UPT-SatSun'!S31</f>
        <v>7717</v>
      </c>
      <c r="T31" s="2">
        <f>'UPT-Weekday'!T31+'UPT-SatSun'!T31</f>
        <v>914</v>
      </c>
      <c r="U31" s="2">
        <f>'UPT-Weekday'!U31+'UPT-SatSun'!U31</f>
        <v>7693</v>
      </c>
      <c r="V31" s="2">
        <f>'UPT-Weekday'!V31+'UPT-SatSun'!V31</f>
        <v>52110</v>
      </c>
      <c r="W31" s="2">
        <f>'UPT-Weekday'!W31+'UPT-SatSun'!W31</f>
        <v>78871</v>
      </c>
      <c r="X31" s="2">
        <f>'UPT-Weekday'!X31+'UPT-SatSun'!X31</f>
        <v>124058</v>
      </c>
      <c r="Y31" s="2">
        <f>'UPT-Weekday'!Y31+'UPT-SatSun'!Y31</f>
        <v>95581</v>
      </c>
      <c r="Z31" s="2">
        <f>'UPT-Weekday'!Z31+'UPT-SatSun'!Z31</f>
        <v>351</v>
      </c>
      <c r="AA31" s="2">
        <f>'UPT-Weekday'!AA31+'UPT-SatSun'!AA31</f>
        <v>0</v>
      </c>
      <c r="AB31" s="2">
        <f>'UPT-Weekday'!AB31+'UPT-SatSun'!AB31</f>
        <v>0</v>
      </c>
      <c r="AC31" s="2">
        <f>'UPT-Weekday'!AC31+'UPT-SatSun'!AC31</f>
        <v>0</v>
      </c>
      <c r="AD31" s="2">
        <f>'UPT-Weekday'!AD31+'UPT-SatSun'!AD31</f>
        <v>1590</v>
      </c>
      <c r="AE31" s="2">
        <f>'UPT-Weekday'!AE31+'UPT-SatSun'!AE31</f>
        <v>7418</v>
      </c>
      <c r="AF31" s="2">
        <f>'UPT-Weekday'!AF31+'UPT-SatSun'!AF31</f>
        <v>6469</v>
      </c>
      <c r="AG31" s="2">
        <f>'UPT-Weekday'!AG31+'UPT-SatSun'!AG31</f>
        <v>4259</v>
      </c>
      <c r="AH31" s="2">
        <f>'UPT-Weekday'!AH31+'UPT-SatSun'!AH31</f>
        <v>2008</v>
      </c>
      <c r="AI31" s="2">
        <f>'UPT-Weekday'!AI31+'UPT-SatSun'!AI31</f>
        <v>678</v>
      </c>
      <c r="AJ31" s="2">
        <f>'UPT-Weekday'!AJ31+'UPT-SatSun'!AJ31</f>
        <v>3010</v>
      </c>
      <c r="AK31" s="2">
        <f>'UPT-Weekday'!AK31+'UPT-SatSun'!AK31</f>
        <v>0</v>
      </c>
      <c r="AL31" s="2">
        <f>'UPT-Weekday'!AL31+'UPT-SatSun'!AL31</f>
        <v>0</v>
      </c>
      <c r="AM31" s="2">
        <f t="shared" si="0"/>
        <v>18947.91891891892</v>
      </c>
      <c r="AN31" s="2"/>
    </row>
    <row r="32" spans="1:40">
      <c r="A32" s="23">
        <v>45078</v>
      </c>
      <c r="B32" s="2">
        <f>'UPT-Weekday'!B32+'UPT-SatSun'!B32</f>
        <v>46312</v>
      </c>
      <c r="C32" s="2">
        <f>'UPT-Weekday'!C32+'UPT-SatSun'!C32</f>
        <v>16056</v>
      </c>
      <c r="D32" s="2">
        <f>'UPT-Weekday'!D32+'UPT-SatSun'!D32</f>
        <v>0</v>
      </c>
      <c r="E32" s="2">
        <f>'UPT-Weekday'!E32+'UPT-SatSun'!E32</f>
        <v>14317</v>
      </c>
      <c r="F32" s="2">
        <f>'UPT-Weekday'!F32+'UPT-SatSun'!F32</f>
        <v>33200</v>
      </c>
      <c r="G32" s="2">
        <f>'UPT-Weekday'!G32+'UPT-SatSun'!G32</f>
        <v>20096</v>
      </c>
      <c r="H32" s="2">
        <f>'UPT-Weekday'!H32+'UPT-SatSun'!H32</f>
        <v>7354</v>
      </c>
      <c r="I32" s="2">
        <f>'UPT-Weekday'!I32+'UPT-SatSun'!I32</f>
        <v>6414</v>
      </c>
      <c r="J32" s="2">
        <f>'UPT-Weekday'!J32+'UPT-SatSun'!J32</f>
        <v>11907</v>
      </c>
      <c r="K32" s="2">
        <f>'UPT-Weekday'!K32+'UPT-SatSun'!K32</f>
        <v>10824</v>
      </c>
      <c r="L32" s="2">
        <f>'UPT-Weekday'!L32+'UPT-SatSun'!L32</f>
        <v>17382</v>
      </c>
      <c r="M32" s="2">
        <f>'UPT-Weekday'!M32+'UPT-SatSun'!M32</f>
        <v>0</v>
      </c>
      <c r="N32" s="2">
        <f>'UPT-Weekday'!N32+'UPT-SatSun'!N32</f>
        <v>29711</v>
      </c>
      <c r="O32" s="2">
        <f>'UPT-Weekday'!O32+'UPT-SatSun'!O32</f>
        <v>52076</v>
      </c>
      <c r="P32" s="2">
        <f>'UPT-Weekday'!P32+'UPT-SatSun'!P32</f>
        <v>0</v>
      </c>
      <c r="Q32" s="2">
        <f>'UPT-Weekday'!Q32+'UPT-SatSun'!Q32</f>
        <v>5606</v>
      </c>
      <c r="R32" s="2">
        <f>'UPT-Weekday'!R32+'UPT-SatSun'!R32</f>
        <v>12749</v>
      </c>
      <c r="S32" s="2">
        <f>'UPT-Weekday'!S32+'UPT-SatSun'!S32</f>
        <v>8239</v>
      </c>
      <c r="T32" s="2">
        <f>'UPT-Weekday'!T32+'UPT-SatSun'!T32</f>
        <v>747</v>
      </c>
      <c r="U32" s="2">
        <f>'UPT-Weekday'!U32+'UPT-SatSun'!U32</f>
        <v>7336</v>
      </c>
      <c r="V32" s="2">
        <f>'UPT-Weekday'!V32+'UPT-SatSun'!V32</f>
        <v>45316</v>
      </c>
      <c r="W32" s="2">
        <f>'UPT-Weekday'!W32+'UPT-SatSun'!W32</f>
        <v>74917</v>
      </c>
      <c r="X32" s="2">
        <f>'UPT-Weekday'!X32+'UPT-SatSun'!X32</f>
        <v>118234</v>
      </c>
      <c r="Y32" s="2">
        <f>'UPT-Weekday'!Y32+'UPT-SatSun'!Y32</f>
        <v>87350</v>
      </c>
      <c r="Z32" s="2">
        <f>'UPT-Weekday'!Z32+'UPT-SatSun'!Z32</f>
        <v>296</v>
      </c>
      <c r="AA32" s="2">
        <f>'UPT-Weekday'!AA32+'UPT-SatSun'!AA32</f>
        <v>0</v>
      </c>
      <c r="AB32" s="2">
        <f>'UPT-Weekday'!AB32+'UPT-SatSun'!AB32</f>
        <v>0</v>
      </c>
      <c r="AC32" s="2">
        <f>'UPT-Weekday'!AC32+'UPT-SatSun'!AC32</f>
        <v>0</v>
      </c>
      <c r="AD32" s="2">
        <f>'UPT-Weekday'!AD32+'UPT-SatSun'!AD32</f>
        <v>1535</v>
      </c>
      <c r="AE32" s="2">
        <f>'UPT-Weekday'!AE32+'UPT-SatSun'!AE32</f>
        <v>7049</v>
      </c>
      <c r="AF32" s="2">
        <f>'UPT-Weekday'!AF32+'UPT-SatSun'!AF32</f>
        <v>6515</v>
      </c>
      <c r="AG32" s="2">
        <f>'UPT-Weekday'!AG32+'UPT-SatSun'!AG32</f>
        <v>4067</v>
      </c>
      <c r="AH32" s="2">
        <f>'UPT-Weekday'!AH32+'UPT-SatSun'!AH32</f>
        <v>1940</v>
      </c>
      <c r="AI32" s="2">
        <f>'UPT-Weekday'!AI32+'UPT-SatSun'!AI32</f>
        <v>579</v>
      </c>
      <c r="AJ32" s="2">
        <f>'UPT-Weekday'!AJ32+'UPT-SatSun'!AJ32</f>
        <v>2333</v>
      </c>
      <c r="AK32" s="2">
        <f>'UPT-Weekday'!AK32+'UPT-SatSun'!AK32</f>
        <v>0</v>
      </c>
      <c r="AL32" s="2">
        <f>'UPT-Weekday'!AL32+'UPT-SatSun'!AL32</f>
        <v>0</v>
      </c>
      <c r="AM32" s="2">
        <f t="shared" si="0"/>
        <v>17579.91891891892</v>
      </c>
      <c r="AN32" s="2"/>
    </row>
    <row r="33" spans="1:40">
      <c r="A33" s="23">
        <v>45108</v>
      </c>
      <c r="B33" s="2">
        <f>'UPT-Weekday'!B33+'UPT-SatSun'!B33</f>
        <v>44114</v>
      </c>
      <c r="C33" s="2">
        <f>'UPT-Weekday'!C33+'UPT-SatSun'!C33</f>
        <v>15488</v>
      </c>
      <c r="D33" s="2">
        <f>'UPT-Weekday'!D33+'UPT-SatSun'!D33</f>
        <v>0</v>
      </c>
      <c r="E33" s="2">
        <f>'UPT-Weekday'!E33+'UPT-SatSun'!E33</f>
        <v>13908</v>
      </c>
      <c r="F33" s="2">
        <f>'UPT-Weekday'!F33+'UPT-SatSun'!F33</f>
        <v>31111</v>
      </c>
      <c r="G33" s="2">
        <f>'UPT-Weekday'!G33+'UPT-SatSun'!G33</f>
        <v>18639</v>
      </c>
      <c r="H33" s="2">
        <f>'UPT-Weekday'!H33+'UPT-SatSun'!H33</f>
        <v>5984</v>
      </c>
      <c r="I33" s="2">
        <f>'UPT-Weekday'!I33+'UPT-SatSun'!I33</f>
        <v>6252</v>
      </c>
      <c r="J33" s="2">
        <f>'UPT-Weekday'!J33+'UPT-SatSun'!J33</f>
        <v>10893</v>
      </c>
      <c r="K33" s="2">
        <f>'UPT-Weekday'!K33+'UPT-SatSun'!K33</f>
        <v>12631</v>
      </c>
      <c r="L33" s="2">
        <f>'UPT-Weekday'!L33+'UPT-SatSun'!L33</f>
        <v>17166</v>
      </c>
      <c r="M33" s="2">
        <f>'UPT-Weekday'!M33+'UPT-SatSun'!M33</f>
        <v>0</v>
      </c>
      <c r="N33" s="2">
        <f>'UPT-Weekday'!N33+'UPT-SatSun'!N33</f>
        <v>28111</v>
      </c>
      <c r="O33" s="2">
        <f>'UPT-Weekday'!O33+'UPT-SatSun'!O33</f>
        <v>49355</v>
      </c>
      <c r="P33" s="2">
        <f>'UPT-Weekday'!P33+'UPT-SatSun'!P33</f>
        <v>0</v>
      </c>
      <c r="Q33" s="2">
        <f>'UPT-Weekday'!Q33+'UPT-SatSun'!Q33</f>
        <v>5148</v>
      </c>
      <c r="R33" s="2">
        <f>'UPT-Weekday'!R33+'UPT-SatSun'!R33</f>
        <v>11655</v>
      </c>
      <c r="S33" s="2">
        <f>'UPT-Weekday'!S33+'UPT-SatSun'!S33</f>
        <v>7727</v>
      </c>
      <c r="T33" s="2">
        <f>'UPT-Weekday'!T33+'UPT-SatSun'!T33</f>
        <v>595</v>
      </c>
      <c r="U33" s="2">
        <f>'UPT-Weekday'!U33+'UPT-SatSun'!U33</f>
        <v>7757</v>
      </c>
      <c r="V33" s="2">
        <f>'UPT-Weekday'!V33+'UPT-SatSun'!V33</f>
        <v>47183</v>
      </c>
      <c r="W33" s="2">
        <f>'UPT-Weekday'!W33+'UPT-SatSun'!W33</f>
        <v>74101</v>
      </c>
      <c r="X33" s="2">
        <f>'UPT-Weekday'!X33+'UPT-SatSun'!X33</f>
        <v>117535</v>
      </c>
      <c r="Y33" s="2">
        <f>'UPT-Weekday'!Y33+'UPT-SatSun'!Y33</f>
        <v>86781</v>
      </c>
      <c r="Z33" s="2">
        <f>'UPT-Weekday'!Z33+'UPT-SatSun'!Z33</f>
        <v>298</v>
      </c>
      <c r="AA33" s="2">
        <f>'UPT-Weekday'!AA33+'UPT-SatSun'!AA33</f>
        <v>0</v>
      </c>
      <c r="AB33" s="2">
        <f>'UPT-Weekday'!AB33+'UPT-SatSun'!AB33</f>
        <v>0</v>
      </c>
      <c r="AC33" s="2">
        <f>'UPT-Weekday'!AC33+'UPT-SatSun'!AC33</f>
        <v>0</v>
      </c>
      <c r="AD33" s="2">
        <f>'UPT-Weekday'!AD33+'UPT-SatSun'!AD33</f>
        <v>1414</v>
      </c>
      <c r="AE33" s="2">
        <f>'UPT-Weekday'!AE33+'UPT-SatSun'!AE33</f>
        <v>6918</v>
      </c>
      <c r="AF33" s="2">
        <f>'UPT-Weekday'!AF33+'UPT-SatSun'!AF33</f>
        <v>5907</v>
      </c>
      <c r="AG33" s="2">
        <f>'UPT-Weekday'!AG33+'UPT-SatSun'!AG33</f>
        <v>3664</v>
      </c>
      <c r="AH33" s="2">
        <f>'UPT-Weekday'!AH33+'UPT-SatSun'!AH33</f>
        <v>1792</v>
      </c>
      <c r="AI33" s="2">
        <f>'UPT-Weekday'!AI33+'UPT-SatSun'!AI33</f>
        <v>451</v>
      </c>
      <c r="AJ33" s="2">
        <f>'UPT-Weekday'!AJ33+'UPT-SatSun'!AJ33</f>
        <v>2281</v>
      </c>
      <c r="AK33" s="2">
        <f>'UPT-Weekday'!AK33+'UPT-SatSun'!AK33</f>
        <v>0</v>
      </c>
      <c r="AL33" s="2">
        <f>'UPT-Weekday'!AL33+'UPT-SatSun'!AL33</f>
        <v>0</v>
      </c>
      <c r="AM33" s="2">
        <f t="shared" si="0"/>
        <v>17158.35135135135</v>
      </c>
      <c r="AN33" s="2"/>
    </row>
    <row r="34" spans="1:40">
      <c r="A34" s="23">
        <v>45139</v>
      </c>
      <c r="B34" s="2">
        <f>'UPT-Weekday'!B34+'UPT-SatSun'!B34</f>
        <v>51475</v>
      </c>
      <c r="C34" s="2">
        <f>'UPT-Weekday'!C34+'UPT-SatSun'!C34</f>
        <v>19796</v>
      </c>
      <c r="D34" s="2">
        <f>'UPT-Weekday'!D34+'UPT-SatSun'!D34</f>
        <v>0</v>
      </c>
      <c r="E34" s="2">
        <f>'UPT-Weekday'!E34+'UPT-SatSun'!E34</f>
        <v>17382</v>
      </c>
      <c r="F34" s="2">
        <f>'UPT-Weekday'!F34+'UPT-SatSun'!F34</f>
        <v>35967</v>
      </c>
      <c r="G34" s="2">
        <f>'UPT-Weekday'!G34+'UPT-SatSun'!G34</f>
        <v>19858</v>
      </c>
      <c r="H34" s="2">
        <f>'UPT-Weekday'!H34+'UPT-SatSun'!H34</f>
        <v>7657</v>
      </c>
      <c r="I34" s="2">
        <f>'UPT-Weekday'!I34+'UPT-SatSun'!I34</f>
        <v>6864</v>
      </c>
      <c r="J34" s="2">
        <f>'UPT-Weekday'!J34+'UPT-SatSun'!J34</f>
        <v>14496</v>
      </c>
      <c r="K34" s="2">
        <f>'UPT-Weekday'!K34+'UPT-SatSun'!K34</f>
        <v>14019</v>
      </c>
      <c r="L34" s="2">
        <f>'UPT-Weekday'!L34+'UPT-SatSun'!L34</f>
        <v>21439</v>
      </c>
      <c r="M34" s="2">
        <f>'UPT-Weekday'!M34+'UPT-SatSun'!M34</f>
        <v>0</v>
      </c>
      <c r="N34" s="2">
        <f>'UPT-Weekday'!N34+'UPT-SatSun'!N34</f>
        <v>31701</v>
      </c>
      <c r="O34" s="2">
        <f>'UPT-Weekday'!O34+'UPT-SatSun'!O34</f>
        <v>59184</v>
      </c>
      <c r="P34" s="2">
        <f>'UPT-Weekday'!P34+'UPT-SatSun'!P34</f>
        <v>0</v>
      </c>
      <c r="Q34" s="2">
        <f>'UPT-Weekday'!Q34+'UPT-SatSun'!Q34</f>
        <v>5550</v>
      </c>
      <c r="R34" s="2">
        <f>'UPT-Weekday'!R34+'UPT-SatSun'!R34</f>
        <v>15130</v>
      </c>
      <c r="S34" s="2">
        <f>'UPT-Weekday'!S34+'UPT-SatSun'!S34</f>
        <v>7267</v>
      </c>
      <c r="T34" s="2">
        <f>'UPT-Weekday'!T34+'UPT-SatSun'!T34</f>
        <v>1088</v>
      </c>
      <c r="U34" s="2">
        <f>'UPT-Weekday'!U34+'UPT-SatSun'!U34</f>
        <v>8467</v>
      </c>
      <c r="V34" s="2">
        <f>'UPT-Weekday'!V34+'UPT-SatSun'!V34</f>
        <v>57445</v>
      </c>
      <c r="W34" s="2">
        <f>'UPT-Weekday'!W34+'UPT-SatSun'!W34</f>
        <v>79032</v>
      </c>
      <c r="X34" s="2">
        <f>'UPT-Weekday'!X34+'UPT-SatSun'!X34</f>
        <v>131942</v>
      </c>
      <c r="Y34" s="2">
        <f>'UPT-Weekday'!Y34+'UPT-SatSun'!Y34</f>
        <v>98212</v>
      </c>
      <c r="Z34" s="2">
        <f>'UPT-Weekday'!Z34+'UPT-SatSun'!Z34</f>
        <v>367</v>
      </c>
      <c r="AA34" s="2">
        <f>'UPT-Weekday'!AA34+'UPT-SatSun'!AA34</f>
        <v>616</v>
      </c>
      <c r="AB34" s="2">
        <f>'UPT-Weekday'!AB34+'UPT-SatSun'!AB34</f>
        <v>0</v>
      </c>
      <c r="AC34" s="2">
        <f>'UPT-Weekday'!AC34+'UPT-SatSun'!AC34</f>
        <v>0</v>
      </c>
      <c r="AD34" s="2">
        <f>'UPT-Weekday'!AD34+'UPT-SatSun'!AD34</f>
        <v>2166</v>
      </c>
      <c r="AE34" s="2">
        <f>'UPT-Weekday'!AE34+'UPT-SatSun'!AE34</f>
        <v>7361</v>
      </c>
      <c r="AF34" s="2">
        <f>'UPT-Weekday'!AF34+'UPT-SatSun'!AF34</f>
        <v>7093</v>
      </c>
      <c r="AG34" s="2">
        <f>'UPT-Weekday'!AG34+'UPT-SatSun'!AG34</f>
        <v>4673</v>
      </c>
      <c r="AH34" s="2">
        <f>'UPT-Weekday'!AH34+'UPT-SatSun'!AH34</f>
        <v>2266</v>
      </c>
      <c r="AI34" s="2">
        <f>'UPT-Weekday'!AI34+'UPT-SatSun'!AI34</f>
        <v>996</v>
      </c>
      <c r="AJ34" s="2">
        <f>'UPT-Weekday'!AJ34+'UPT-SatSun'!AJ34</f>
        <v>3326</v>
      </c>
      <c r="AK34" s="2">
        <f>'UPT-Weekday'!AK34+'UPT-SatSun'!AK34</f>
        <v>0</v>
      </c>
      <c r="AL34" s="2">
        <f>'UPT-Weekday'!AL34+'UPT-SatSun'!AL34</f>
        <v>0</v>
      </c>
      <c r="AM34" s="2">
        <f t="shared" si="0"/>
        <v>19806.35135135135</v>
      </c>
      <c r="AN34" s="2"/>
    </row>
    <row r="35" spans="1:40">
      <c r="A35" s="23">
        <v>45170</v>
      </c>
      <c r="B35" s="2">
        <f>'UPT-Weekday'!B35+'UPT-SatSun'!B35</f>
        <v>56026</v>
      </c>
      <c r="C35" s="2">
        <f>'UPT-Weekday'!C35+'UPT-SatSun'!C35</f>
        <v>21304</v>
      </c>
      <c r="D35" s="2">
        <f>'UPT-Weekday'!D35+'UPT-SatSun'!D35</f>
        <v>0</v>
      </c>
      <c r="E35" s="2">
        <f>'UPT-Weekday'!E35+'UPT-SatSun'!E35</f>
        <v>17193</v>
      </c>
      <c r="F35" s="2">
        <f>'UPT-Weekday'!F35+'UPT-SatSun'!F35</f>
        <v>39121</v>
      </c>
      <c r="G35" s="2">
        <f>'UPT-Weekday'!G35+'UPT-SatSun'!G35</f>
        <v>19452</v>
      </c>
      <c r="H35" s="2">
        <f>'UPT-Weekday'!H35+'UPT-SatSun'!H35</f>
        <v>7315</v>
      </c>
      <c r="I35" s="2">
        <f>'UPT-Weekday'!I35+'UPT-SatSun'!I35</f>
        <v>6912</v>
      </c>
      <c r="J35" s="2">
        <f>'UPT-Weekday'!J35+'UPT-SatSun'!J35</f>
        <v>13985</v>
      </c>
      <c r="K35" s="2">
        <f>'UPT-Weekday'!K35+'UPT-SatSun'!K35</f>
        <v>13939</v>
      </c>
      <c r="L35" s="2">
        <f>'UPT-Weekday'!L35+'UPT-SatSun'!L35</f>
        <v>22424</v>
      </c>
      <c r="M35" s="2">
        <f>'UPT-Weekday'!M35+'UPT-SatSun'!M35</f>
        <v>0</v>
      </c>
      <c r="N35" s="2">
        <f>'UPT-Weekday'!N35+'UPT-SatSun'!N35</f>
        <v>32493</v>
      </c>
      <c r="O35" s="2">
        <f>'UPT-Weekday'!O35+'UPT-SatSun'!O35</f>
        <v>58716</v>
      </c>
      <c r="P35" s="2">
        <f>'UPT-Weekday'!P35+'UPT-SatSun'!P35</f>
        <v>0</v>
      </c>
      <c r="Q35" s="2">
        <f>'UPT-Weekday'!Q35+'UPT-SatSun'!Q35</f>
        <v>5783</v>
      </c>
      <c r="R35" s="2">
        <f>'UPT-Weekday'!R35+'UPT-SatSun'!R35</f>
        <v>15599</v>
      </c>
      <c r="S35" s="2">
        <f>'UPT-Weekday'!S35+'UPT-SatSun'!S35</f>
        <v>8014</v>
      </c>
      <c r="T35" s="2">
        <f>'UPT-Weekday'!T35+'UPT-SatSun'!T35</f>
        <v>1030</v>
      </c>
      <c r="U35" s="2">
        <f>'UPT-Weekday'!U35+'UPT-SatSun'!U35</f>
        <v>8677</v>
      </c>
      <c r="V35" s="2">
        <f>'UPT-Weekday'!V35+'UPT-SatSun'!V35</f>
        <v>56344</v>
      </c>
      <c r="W35" s="2">
        <f>'UPT-Weekday'!W35+'UPT-SatSun'!W35</f>
        <v>79749</v>
      </c>
      <c r="X35" s="2">
        <f>'UPT-Weekday'!X35+'UPT-SatSun'!X35</f>
        <v>128235</v>
      </c>
      <c r="Y35" s="2">
        <f>'UPT-Weekday'!Y35+'UPT-SatSun'!Y35</f>
        <v>97745</v>
      </c>
      <c r="Z35" s="2">
        <f>'UPT-Weekday'!Z35+'UPT-SatSun'!Z35</f>
        <v>339</v>
      </c>
      <c r="AA35" s="2">
        <f>'UPT-Weekday'!AA35+'UPT-SatSun'!AA35</f>
        <v>816</v>
      </c>
      <c r="AB35" s="2">
        <f>'UPT-Weekday'!AB35+'UPT-SatSun'!AB35</f>
        <v>0</v>
      </c>
      <c r="AC35" s="2">
        <f>'UPT-Weekday'!AC35+'UPT-SatSun'!AC35</f>
        <v>0</v>
      </c>
      <c r="AD35" s="2">
        <f>'UPT-Weekday'!AD35+'UPT-SatSun'!AD35</f>
        <v>2059</v>
      </c>
      <c r="AE35" s="2">
        <f>'UPT-Weekday'!AE35+'UPT-SatSun'!AE35</f>
        <v>7731</v>
      </c>
      <c r="AF35" s="2">
        <f>'UPT-Weekday'!AF35+'UPT-SatSun'!AF35</f>
        <v>6892</v>
      </c>
      <c r="AG35" s="2">
        <f>'UPT-Weekday'!AG35+'UPT-SatSun'!AG35</f>
        <v>4663</v>
      </c>
      <c r="AH35" s="2">
        <f>'UPT-Weekday'!AH35+'UPT-SatSun'!AH35</f>
        <v>2757</v>
      </c>
      <c r="AI35" s="2">
        <f>'UPT-Weekday'!AI35+'UPT-SatSun'!AI35</f>
        <v>1134</v>
      </c>
      <c r="AJ35" s="2">
        <f>'UPT-Weekday'!AJ35+'UPT-SatSun'!AJ35</f>
        <v>2954</v>
      </c>
      <c r="AK35" s="2">
        <f>'UPT-Weekday'!AK35+'UPT-SatSun'!AK35</f>
        <v>0</v>
      </c>
      <c r="AL35" s="2">
        <f>'UPT-Weekday'!AL35+'UPT-SatSun'!AL35</f>
        <v>0</v>
      </c>
      <c r="AM35" s="2">
        <f t="shared" si="0"/>
        <v>19983.81081081081</v>
      </c>
      <c r="AN35" s="2"/>
    </row>
    <row r="36" spans="1:40">
      <c r="A36" s="23">
        <v>45200</v>
      </c>
      <c r="B36" s="2">
        <f>'UPT-Weekday'!B36+'UPT-SatSun'!B36</f>
        <v>55373</v>
      </c>
      <c r="C36" s="2">
        <f>'UPT-Weekday'!C36+'UPT-SatSun'!C36</f>
        <v>20703</v>
      </c>
      <c r="D36" s="2">
        <f>'UPT-Weekday'!D36+'UPT-SatSun'!D36</f>
        <v>0</v>
      </c>
      <c r="E36" s="2">
        <f>'UPT-Weekday'!E36+'UPT-SatSun'!E36</f>
        <v>18000</v>
      </c>
      <c r="F36" s="2">
        <f>'UPT-Weekday'!F36+'UPT-SatSun'!F36</f>
        <v>40515</v>
      </c>
      <c r="G36" s="2">
        <f>'UPT-Weekday'!G36+'UPT-SatSun'!G36</f>
        <v>20777</v>
      </c>
      <c r="H36" s="2">
        <f>'UPT-Weekday'!H36+'UPT-SatSun'!H36</f>
        <v>7714</v>
      </c>
      <c r="I36" s="2">
        <f>'UPT-Weekday'!I36+'UPT-SatSun'!I36</f>
        <v>7352</v>
      </c>
      <c r="J36" s="2">
        <f>'UPT-Weekday'!J36+'UPT-SatSun'!J36</f>
        <v>14035</v>
      </c>
      <c r="K36" s="2">
        <f>'UPT-Weekday'!K36+'UPT-SatSun'!K36</f>
        <v>14914</v>
      </c>
      <c r="L36" s="2">
        <f>'UPT-Weekday'!L36+'UPT-SatSun'!L36</f>
        <v>21026</v>
      </c>
      <c r="M36" s="2">
        <f>'UPT-Weekday'!M36+'UPT-SatSun'!M36</f>
        <v>0</v>
      </c>
      <c r="N36" s="2">
        <f>'UPT-Weekday'!N36+'UPT-SatSun'!N36</f>
        <v>33118</v>
      </c>
      <c r="O36" s="2">
        <f>'UPT-Weekday'!O36+'UPT-SatSun'!O36</f>
        <v>59191</v>
      </c>
      <c r="P36" s="2">
        <f>'UPT-Weekday'!P36+'UPT-SatSun'!P36</f>
        <v>0</v>
      </c>
      <c r="Q36" s="2">
        <f>'UPT-Weekday'!Q36+'UPT-SatSun'!Q36</f>
        <v>6059</v>
      </c>
      <c r="R36" s="2">
        <f>'UPT-Weekday'!R36+'UPT-SatSun'!R36</f>
        <v>15204</v>
      </c>
      <c r="S36" s="2">
        <f>'UPT-Weekday'!S36+'UPT-SatSun'!S36</f>
        <v>8048</v>
      </c>
      <c r="T36" s="2">
        <f>'UPT-Weekday'!T36+'UPT-SatSun'!T36</f>
        <v>1362</v>
      </c>
      <c r="U36" s="2">
        <f>'UPT-Weekday'!U36+'UPT-SatSun'!U36</f>
        <v>8859</v>
      </c>
      <c r="V36" s="2">
        <f>'UPT-Weekday'!V36+'UPT-SatSun'!V36</f>
        <v>55944</v>
      </c>
      <c r="W36" s="2">
        <f>'UPT-Weekday'!W36+'UPT-SatSun'!W36</f>
        <v>79730</v>
      </c>
      <c r="X36" s="2">
        <f>'UPT-Weekday'!X36+'UPT-SatSun'!X36</f>
        <v>128246</v>
      </c>
      <c r="Y36" s="2">
        <f>'UPT-Weekday'!Y36+'UPT-SatSun'!Y36</f>
        <v>98358</v>
      </c>
      <c r="Z36" s="2">
        <f>'UPT-Weekday'!Z36+'UPT-SatSun'!Z36</f>
        <v>202</v>
      </c>
      <c r="AA36" s="2">
        <f>'UPT-Weekday'!AA36+'UPT-SatSun'!AA36</f>
        <v>933</v>
      </c>
      <c r="AB36" s="2">
        <f>'UPT-Weekday'!AB36+'UPT-SatSun'!AB36</f>
        <v>0</v>
      </c>
      <c r="AC36" s="2">
        <f>'UPT-Weekday'!AC36+'UPT-SatSun'!AC36</f>
        <v>0</v>
      </c>
      <c r="AD36" s="2">
        <f>'UPT-Weekday'!AD36+'UPT-SatSun'!AD36</f>
        <v>2808</v>
      </c>
      <c r="AE36" s="2">
        <f>'UPT-Weekday'!AE36+'UPT-SatSun'!AE36</f>
        <v>7641</v>
      </c>
      <c r="AF36" s="2">
        <f>'UPT-Weekday'!AF36+'UPT-SatSun'!AF36</f>
        <v>7384</v>
      </c>
      <c r="AG36" s="2">
        <f>'UPT-Weekday'!AG36+'UPT-SatSun'!AG36</f>
        <v>4967</v>
      </c>
      <c r="AH36" s="2">
        <f>'UPT-Weekday'!AH36+'UPT-SatSun'!AH36</f>
        <v>2805</v>
      </c>
      <c r="AI36" s="2">
        <f>'UPT-Weekday'!AI36+'UPT-SatSun'!AI36</f>
        <v>1036</v>
      </c>
      <c r="AJ36" s="2">
        <f>'UPT-Weekday'!AJ36+'UPT-SatSun'!AJ36</f>
        <v>2670</v>
      </c>
      <c r="AK36" s="2">
        <f>'UPT-Weekday'!AK36+'UPT-SatSun'!AK36</f>
        <v>0</v>
      </c>
      <c r="AL36" s="2">
        <f>'UPT-Weekday'!AL36+'UPT-SatSun'!AL36</f>
        <v>0</v>
      </c>
      <c r="AM36" s="2">
        <f t="shared" si="0"/>
        <v>20134.432432432433</v>
      </c>
      <c r="AN36" s="2"/>
    </row>
    <row r="37" spans="1:40">
      <c r="A37" s="23">
        <v>45231</v>
      </c>
      <c r="B37" s="2">
        <f>'UPT-Weekday'!B37+'UPT-SatSun'!B37</f>
        <v>49780</v>
      </c>
      <c r="C37" s="2">
        <f>'UPT-Weekday'!C37+'UPT-SatSun'!C37</f>
        <v>20539</v>
      </c>
      <c r="D37" s="2">
        <f>'UPT-Weekday'!D37+'UPT-SatSun'!D37</f>
        <v>0</v>
      </c>
      <c r="E37" s="2">
        <f>'UPT-Weekday'!E37+'UPT-SatSun'!E37</f>
        <v>18236</v>
      </c>
      <c r="F37" s="2">
        <f>'UPT-Weekday'!F37+'UPT-SatSun'!F37</f>
        <v>36613</v>
      </c>
      <c r="G37" s="2">
        <f>'UPT-Weekday'!G37+'UPT-SatSun'!G37</f>
        <v>20976</v>
      </c>
      <c r="H37" s="2">
        <f>'UPT-Weekday'!H37+'UPT-SatSun'!H37</f>
        <v>7305</v>
      </c>
      <c r="I37" s="2">
        <f>'UPT-Weekday'!I37+'UPT-SatSun'!I37</f>
        <v>6965</v>
      </c>
      <c r="J37" s="2">
        <f>'UPT-Weekday'!J37+'UPT-SatSun'!J37</f>
        <v>13080</v>
      </c>
      <c r="K37" s="2">
        <f>'UPT-Weekday'!K37+'UPT-SatSun'!K37</f>
        <v>12935</v>
      </c>
      <c r="L37" s="2">
        <f>'UPT-Weekday'!L37+'UPT-SatSun'!L37</f>
        <v>20076</v>
      </c>
      <c r="M37" s="2">
        <f>'UPT-Weekday'!M37+'UPT-SatSun'!M37</f>
        <v>0</v>
      </c>
      <c r="N37" s="2">
        <f>'UPT-Weekday'!N37+'UPT-SatSun'!N37</f>
        <v>31488</v>
      </c>
      <c r="O37" s="2">
        <f>'UPT-Weekday'!O37+'UPT-SatSun'!O37</f>
        <v>56455</v>
      </c>
      <c r="P37" s="2">
        <f>'UPT-Weekday'!P37+'UPT-SatSun'!P37</f>
        <v>0</v>
      </c>
      <c r="Q37" s="2">
        <f>'UPT-Weekday'!Q37+'UPT-SatSun'!Q37</f>
        <v>6038</v>
      </c>
      <c r="R37" s="2">
        <f>'UPT-Weekday'!R37+'UPT-SatSun'!R37</f>
        <v>14339</v>
      </c>
      <c r="S37" s="2">
        <f>'UPT-Weekday'!S37+'UPT-SatSun'!S37</f>
        <v>7883</v>
      </c>
      <c r="T37" s="2">
        <f>'UPT-Weekday'!T37+'UPT-SatSun'!T37</f>
        <v>1299</v>
      </c>
      <c r="U37" s="2">
        <f>'UPT-Weekday'!U37+'UPT-SatSun'!U37</f>
        <v>7734</v>
      </c>
      <c r="V37" s="2">
        <f>'UPT-Weekday'!V37+'UPT-SatSun'!V37</f>
        <v>53798</v>
      </c>
      <c r="W37" s="2">
        <f>'UPT-Weekday'!W37+'UPT-SatSun'!W37</f>
        <v>69484</v>
      </c>
      <c r="X37" s="2">
        <f>'UPT-Weekday'!X37+'UPT-SatSun'!X37</f>
        <v>118247</v>
      </c>
      <c r="Y37" s="2">
        <f>'UPT-Weekday'!Y37+'UPT-SatSun'!Y37</f>
        <v>96309</v>
      </c>
      <c r="Z37" s="2">
        <f>'UPT-Weekday'!Z37+'UPT-SatSun'!Z37</f>
        <v>59</v>
      </c>
      <c r="AA37" s="2">
        <f>'UPT-Weekday'!AA37+'UPT-SatSun'!AA37</f>
        <v>1032</v>
      </c>
      <c r="AB37" s="2">
        <f>'UPT-Weekday'!AB37+'UPT-SatSun'!AB37</f>
        <v>0</v>
      </c>
      <c r="AC37" s="2">
        <f>'UPT-Weekday'!AC37+'UPT-SatSun'!AC37</f>
        <v>0</v>
      </c>
      <c r="AD37" s="2">
        <f>'UPT-Weekday'!AD37+'UPT-SatSun'!AD37</f>
        <v>2197</v>
      </c>
      <c r="AE37" s="2">
        <f>'UPT-Weekday'!AE37+'UPT-SatSun'!AE37</f>
        <v>7393</v>
      </c>
      <c r="AF37" s="2">
        <f>'UPT-Weekday'!AF37+'UPT-SatSun'!AF37</f>
        <v>6209</v>
      </c>
      <c r="AG37" s="2">
        <f>'UPT-Weekday'!AG37+'UPT-SatSun'!AG37</f>
        <v>4894</v>
      </c>
      <c r="AH37" s="2">
        <f>'UPT-Weekday'!AH37+'UPT-SatSun'!AH37</f>
        <v>2656</v>
      </c>
      <c r="AI37" s="2">
        <f>'UPT-Weekday'!AI37+'UPT-SatSun'!AI37</f>
        <v>1157</v>
      </c>
      <c r="AJ37" s="2">
        <f>'UPT-Weekday'!AJ37+'UPT-SatSun'!AJ37</f>
        <v>2676</v>
      </c>
      <c r="AK37" s="2">
        <f>'UPT-Weekday'!AK37+'UPT-SatSun'!AK37</f>
        <v>0</v>
      </c>
      <c r="AL37" s="2">
        <f>'UPT-Weekday'!AL37+'UPT-SatSun'!AL37</f>
        <v>0</v>
      </c>
      <c r="AM37" s="2">
        <f t="shared" si="0"/>
        <v>18860.864864864863</v>
      </c>
      <c r="AN37" s="2"/>
    </row>
    <row r="38" spans="1:40">
      <c r="A38" s="23">
        <v>45261</v>
      </c>
      <c r="B38" s="2">
        <f>'UPT-Weekday'!B38+'UPT-SatSun'!B38</f>
        <v>45542</v>
      </c>
      <c r="C38" s="2">
        <f>'UPT-Weekday'!C38+'UPT-SatSun'!C38</f>
        <v>18622</v>
      </c>
      <c r="D38" s="2">
        <f>'UPT-Weekday'!D38+'UPT-SatSun'!D38</f>
        <v>0</v>
      </c>
      <c r="E38" s="2">
        <f>'UPT-Weekday'!E38+'UPT-SatSun'!E38</f>
        <v>16947</v>
      </c>
      <c r="F38" s="2">
        <f>'UPT-Weekday'!F38+'UPT-SatSun'!F38</f>
        <v>33177</v>
      </c>
      <c r="G38" s="2">
        <f>'UPT-Weekday'!G38+'UPT-SatSun'!G38</f>
        <v>23277</v>
      </c>
      <c r="H38" s="2">
        <f>'UPT-Weekday'!H38+'UPT-SatSun'!H38</f>
        <v>6601</v>
      </c>
      <c r="I38" s="2">
        <f>'UPT-Weekday'!I38+'UPT-SatSun'!I38</f>
        <v>6735</v>
      </c>
      <c r="J38" s="2">
        <f>'UPT-Weekday'!J38+'UPT-SatSun'!J38</f>
        <v>12064</v>
      </c>
      <c r="K38" s="2">
        <f>'UPT-Weekday'!K38+'UPT-SatSun'!K38</f>
        <v>12295</v>
      </c>
      <c r="L38" s="2">
        <f>'UPT-Weekday'!L38+'UPT-SatSun'!L38</f>
        <v>18262</v>
      </c>
      <c r="M38" s="2">
        <f>'UPT-Weekday'!M38+'UPT-SatSun'!M38</f>
        <v>0</v>
      </c>
      <c r="N38" s="2">
        <f>'UPT-Weekday'!N38+'UPT-SatSun'!N38</f>
        <v>30016</v>
      </c>
      <c r="O38" s="2">
        <f>'UPT-Weekday'!O38+'UPT-SatSun'!O38</f>
        <v>56878</v>
      </c>
      <c r="P38" s="2">
        <f>'UPT-Weekday'!P38+'UPT-SatSun'!P38</f>
        <v>0</v>
      </c>
      <c r="Q38" s="2">
        <f>'UPT-Weekday'!Q38+'UPT-SatSun'!Q38</f>
        <v>5338</v>
      </c>
      <c r="R38" s="2">
        <f>'UPT-Weekday'!R38+'UPT-SatSun'!R38</f>
        <v>12833</v>
      </c>
      <c r="S38" s="2">
        <f>'UPT-Weekday'!S38+'UPT-SatSun'!S38</f>
        <v>8678</v>
      </c>
      <c r="T38" s="2">
        <f>'UPT-Weekday'!T38+'UPT-SatSun'!T38</f>
        <v>1116</v>
      </c>
      <c r="U38" s="2">
        <f>'UPT-Weekday'!U38+'UPT-SatSun'!U38</f>
        <v>7151</v>
      </c>
      <c r="V38" s="2">
        <f>'UPT-Weekday'!V38+'UPT-SatSun'!V38</f>
        <v>51125</v>
      </c>
      <c r="W38" s="2">
        <f>'UPT-Weekday'!W38+'UPT-SatSun'!W38</f>
        <v>66260</v>
      </c>
      <c r="X38" s="2">
        <f>'UPT-Weekday'!X38+'UPT-SatSun'!X38</f>
        <v>114547</v>
      </c>
      <c r="Y38" s="2">
        <f>'UPT-Weekday'!Y38+'UPT-SatSun'!Y38</f>
        <v>90001</v>
      </c>
      <c r="Z38" s="2">
        <f>'UPT-Weekday'!Z38+'UPT-SatSun'!Z38</f>
        <v>1047</v>
      </c>
      <c r="AA38" s="2">
        <f>'UPT-Weekday'!AA38+'UPT-SatSun'!AA38</f>
        <v>852</v>
      </c>
      <c r="AB38" s="2">
        <f>'UPT-Weekday'!AB38+'UPT-SatSun'!AB38</f>
        <v>0</v>
      </c>
      <c r="AC38" s="2">
        <f>'UPT-Weekday'!AC38+'UPT-SatSun'!AC38</f>
        <v>0</v>
      </c>
      <c r="AD38" s="2">
        <f>'UPT-Weekday'!AD38+'UPT-SatSun'!AD38</f>
        <v>1892</v>
      </c>
      <c r="AE38" s="2">
        <f>'UPT-Weekday'!AE38+'UPT-SatSun'!AE38</f>
        <v>7332</v>
      </c>
      <c r="AF38" s="2">
        <f>'UPT-Weekday'!AF38+'UPT-SatSun'!AF38</f>
        <v>6940</v>
      </c>
      <c r="AG38" s="2">
        <f>'UPT-Weekday'!AG38+'UPT-SatSun'!AG38</f>
        <v>5079</v>
      </c>
      <c r="AH38" s="2">
        <f>'UPT-Weekday'!AH38+'UPT-SatSun'!AH38</f>
        <v>1956</v>
      </c>
      <c r="AI38" s="2">
        <f>'UPT-Weekday'!AI38+'UPT-SatSun'!AI38</f>
        <v>768</v>
      </c>
      <c r="AJ38" s="2">
        <f>'UPT-Weekday'!AJ38+'UPT-SatSun'!AJ38</f>
        <v>2007</v>
      </c>
      <c r="AK38" s="2">
        <f>'UPT-Weekday'!AK38+'UPT-SatSun'!AK38</f>
        <v>0</v>
      </c>
      <c r="AL38" s="2">
        <f>'UPT-Weekday'!AL38+'UPT-SatSun'!AL38</f>
        <v>0</v>
      </c>
      <c r="AM38" s="2">
        <f t="shared" si="0"/>
        <v>17982.108108108107</v>
      </c>
      <c r="AN38" s="2"/>
    </row>
    <row r="39" spans="1:40">
      <c r="A39" s="23">
        <v>45292</v>
      </c>
      <c r="B39" s="2">
        <f>'UPT-Weekday'!B39+'UPT-SatSun'!B39</f>
        <v>43245</v>
      </c>
      <c r="C39" s="2">
        <f>'UPT-Weekday'!C39+'UPT-SatSun'!C39</f>
        <v>17837</v>
      </c>
      <c r="D39" s="2">
        <f>'UPT-Weekday'!D39+'UPT-SatSun'!D39</f>
        <v>0</v>
      </c>
      <c r="E39" s="2">
        <f>'UPT-Weekday'!E39+'UPT-SatSun'!E39</f>
        <v>16354</v>
      </c>
      <c r="F39" s="2">
        <f>'UPT-Weekday'!F39+'UPT-SatSun'!F39</f>
        <v>34040</v>
      </c>
      <c r="G39" s="2">
        <f>'UPT-Weekday'!G39+'UPT-SatSun'!G39</f>
        <v>23495</v>
      </c>
      <c r="H39" s="2">
        <f>'UPT-Weekday'!H39+'UPT-SatSun'!H39</f>
        <v>6985</v>
      </c>
      <c r="I39" s="2">
        <f>'UPT-Weekday'!I39+'UPT-SatSun'!I39</f>
        <v>6357</v>
      </c>
      <c r="J39" s="2">
        <f>'UPT-Weekday'!J39+'UPT-SatSun'!J39</f>
        <v>12101</v>
      </c>
      <c r="K39" s="2">
        <f>'UPT-Weekday'!K39+'UPT-SatSun'!K39</f>
        <v>12316</v>
      </c>
      <c r="L39" s="2">
        <f>'UPT-Weekday'!L39+'UPT-SatSun'!L39</f>
        <v>14872</v>
      </c>
      <c r="M39" s="2">
        <f>'UPT-Weekday'!M39+'UPT-SatSun'!M39</f>
        <v>0</v>
      </c>
      <c r="N39" s="2">
        <f>'UPT-Weekday'!N39+'UPT-SatSun'!N39</f>
        <v>31683</v>
      </c>
      <c r="O39" s="2">
        <f>'UPT-Weekday'!O39+'UPT-SatSun'!O39</f>
        <v>56086</v>
      </c>
      <c r="P39" s="2">
        <f>'UPT-Weekday'!P39+'UPT-SatSun'!P39</f>
        <v>0</v>
      </c>
      <c r="Q39" s="2">
        <f>'UPT-Weekday'!Q39+'UPT-SatSun'!Q39</f>
        <v>5018</v>
      </c>
      <c r="R39" s="2">
        <f>'UPT-Weekday'!R39+'UPT-SatSun'!R39</f>
        <v>13225</v>
      </c>
      <c r="S39" s="2">
        <f>'UPT-Weekday'!S39+'UPT-SatSun'!S39</f>
        <v>6903</v>
      </c>
      <c r="T39" s="2">
        <f>'UPT-Weekday'!T39+'UPT-SatSun'!T39</f>
        <v>1105</v>
      </c>
      <c r="U39" s="2">
        <f>'UPT-Weekday'!U39+'UPT-SatSun'!U39</f>
        <v>7524</v>
      </c>
      <c r="V39" s="2">
        <f>'UPT-Weekday'!V39+'UPT-SatSun'!V39</f>
        <v>46684</v>
      </c>
      <c r="W39" s="2">
        <f>'UPT-Weekday'!W39+'UPT-SatSun'!W39</f>
        <v>62061</v>
      </c>
      <c r="X39" s="2">
        <f>'UPT-Weekday'!X39+'UPT-SatSun'!X39</f>
        <v>110184</v>
      </c>
      <c r="Y39" s="2">
        <f>'UPT-Weekday'!Y39+'UPT-SatSun'!Y39</f>
        <v>87941</v>
      </c>
      <c r="Z39" s="2">
        <f>'UPT-Weekday'!Z39+'UPT-SatSun'!Z39</f>
        <v>840</v>
      </c>
      <c r="AA39" s="2">
        <f>'UPT-Weekday'!AA39+'UPT-SatSun'!AA39</f>
        <v>731</v>
      </c>
      <c r="AB39" s="2">
        <f>'UPT-Weekday'!AB39+'UPT-SatSun'!AB39</f>
        <v>0</v>
      </c>
      <c r="AC39" s="2">
        <f>'UPT-Weekday'!AC39+'UPT-SatSun'!AC39</f>
        <v>0</v>
      </c>
      <c r="AD39" s="2">
        <f>'UPT-Weekday'!AD39+'UPT-SatSun'!AD39</f>
        <v>2026</v>
      </c>
      <c r="AE39" s="2">
        <f>'UPT-Weekday'!AE39+'UPT-SatSun'!AE39</f>
        <v>6367</v>
      </c>
      <c r="AF39" s="2">
        <f>'UPT-Weekday'!AF39+'UPT-SatSun'!AF39</f>
        <v>5990</v>
      </c>
      <c r="AG39" s="2">
        <f>'UPT-Weekday'!AG39+'UPT-SatSun'!AG39</f>
        <v>3849</v>
      </c>
      <c r="AH39" s="2">
        <f>'UPT-Weekday'!AH39+'UPT-SatSun'!AH39</f>
        <v>1892</v>
      </c>
      <c r="AI39" s="2">
        <f>'UPT-Weekday'!AI39+'UPT-SatSun'!AI39</f>
        <v>823</v>
      </c>
      <c r="AJ39" s="2">
        <f>'UPT-Weekday'!AJ39+'UPT-SatSun'!AJ39</f>
        <v>2365</v>
      </c>
      <c r="AK39" s="2">
        <f>'UPT-Weekday'!AK39+'UPT-SatSun'!AK39</f>
        <v>0</v>
      </c>
      <c r="AL39" s="2">
        <f>'UPT-Weekday'!AL39+'UPT-SatSun'!AL39</f>
        <v>0</v>
      </c>
      <c r="AM39" s="2">
        <f t="shared" si="0"/>
        <v>17321.594594594593</v>
      </c>
      <c r="AN39" s="2"/>
    </row>
    <row r="40" spans="1:40">
      <c r="A40" s="23">
        <v>45323</v>
      </c>
      <c r="B40" s="2">
        <f>'UPT-Weekday'!B40+'UPT-SatSun'!B40</f>
        <v>50517</v>
      </c>
      <c r="C40" s="2">
        <f>'UPT-Weekday'!C40+'UPT-SatSun'!C40</f>
        <v>20280</v>
      </c>
      <c r="D40" s="2">
        <f>'UPT-Weekday'!D40+'UPT-SatSun'!D40</f>
        <v>0</v>
      </c>
      <c r="E40" s="2">
        <f>'UPT-Weekday'!E40+'UPT-SatSun'!E40</f>
        <v>17590</v>
      </c>
      <c r="F40" s="2">
        <f>'UPT-Weekday'!F40+'UPT-SatSun'!F40</f>
        <v>38469</v>
      </c>
      <c r="G40" s="2">
        <f>'UPT-Weekday'!G40+'UPT-SatSun'!G40</f>
        <v>24215</v>
      </c>
      <c r="H40" s="2">
        <f>'UPT-Weekday'!H40+'UPT-SatSun'!H40</f>
        <v>7989</v>
      </c>
      <c r="I40" s="2">
        <f>'UPT-Weekday'!I40+'UPT-SatSun'!I40</f>
        <v>6930</v>
      </c>
      <c r="J40" s="2">
        <f>'UPT-Weekday'!J40+'UPT-SatSun'!J40</f>
        <v>14101</v>
      </c>
      <c r="K40" s="2">
        <f>'UPT-Weekday'!K40+'UPT-SatSun'!K40</f>
        <v>12775</v>
      </c>
      <c r="L40" s="2">
        <f>'UPT-Weekday'!L40+'UPT-SatSun'!L40</f>
        <v>19826</v>
      </c>
      <c r="M40" s="2">
        <f>'UPT-Weekday'!M40+'UPT-SatSun'!M40</f>
        <v>0</v>
      </c>
      <c r="N40" s="2">
        <f>'UPT-Weekday'!N40+'UPT-SatSun'!N40</f>
        <v>36892</v>
      </c>
      <c r="O40" s="2">
        <f>'UPT-Weekday'!O40+'UPT-SatSun'!O40</f>
        <v>59640</v>
      </c>
      <c r="P40" s="2">
        <f>'UPT-Weekday'!P40+'UPT-SatSun'!P40</f>
        <v>0</v>
      </c>
      <c r="Q40" s="2">
        <f>'UPT-Weekday'!Q40+'UPT-SatSun'!Q40</f>
        <v>5934</v>
      </c>
      <c r="R40" s="2">
        <f>'UPT-Weekday'!R40+'UPT-SatSun'!R40</f>
        <v>15434</v>
      </c>
      <c r="S40" s="2">
        <f>'UPT-Weekday'!S40+'UPT-SatSun'!S40</f>
        <v>7838</v>
      </c>
      <c r="T40" s="2">
        <f>'UPT-Weekday'!T40+'UPT-SatSun'!T40</f>
        <v>1394</v>
      </c>
      <c r="U40" s="2">
        <f>'UPT-Weekday'!U40+'UPT-SatSun'!U40</f>
        <v>8661</v>
      </c>
      <c r="V40" s="2">
        <f>'UPT-Weekday'!V40+'UPT-SatSun'!V40</f>
        <v>51328</v>
      </c>
      <c r="W40" s="2">
        <f>'UPT-Weekday'!W40+'UPT-SatSun'!W40</f>
        <v>69721</v>
      </c>
      <c r="X40" s="2">
        <f>'UPT-Weekday'!X40+'UPT-SatSun'!X40</f>
        <v>122745</v>
      </c>
      <c r="Y40" s="2">
        <f>'UPT-Weekday'!Y40+'UPT-SatSun'!Y40</f>
        <v>99431</v>
      </c>
      <c r="Z40" s="2">
        <f>'UPT-Weekday'!Z40+'UPT-SatSun'!Z40</f>
        <v>142</v>
      </c>
      <c r="AA40" s="2">
        <f>'UPT-Weekday'!AA40+'UPT-SatSun'!AA40</f>
        <v>1328</v>
      </c>
      <c r="AB40" s="2">
        <f>'UPT-Weekday'!AB40+'UPT-SatSun'!AB40</f>
        <v>0</v>
      </c>
      <c r="AC40" s="2">
        <f>'UPT-Weekday'!AC40+'UPT-SatSun'!AC40</f>
        <v>0</v>
      </c>
      <c r="AD40" s="2">
        <f>'UPT-Weekday'!AD40+'UPT-SatSun'!AD40</f>
        <v>2556</v>
      </c>
      <c r="AE40" s="2">
        <f>'UPT-Weekday'!AE40+'UPT-SatSun'!AE40</f>
        <v>6945</v>
      </c>
      <c r="AF40" s="2">
        <f>'UPT-Weekday'!AF40+'UPT-SatSun'!AF40</f>
        <v>7061</v>
      </c>
      <c r="AG40" s="2">
        <f>'UPT-Weekday'!AG40+'UPT-SatSun'!AG40</f>
        <v>4844</v>
      </c>
      <c r="AH40" s="2">
        <f>'UPT-Weekday'!AH40+'UPT-SatSun'!AH40</f>
        <v>2728</v>
      </c>
      <c r="AI40" s="2">
        <f>'UPT-Weekday'!AI40+'UPT-SatSun'!AI40</f>
        <v>1213</v>
      </c>
      <c r="AJ40" s="2">
        <f>'UPT-Weekday'!AJ40+'UPT-SatSun'!AJ40</f>
        <v>2804</v>
      </c>
      <c r="AK40" s="2">
        <f>'UPT-Weekday'!AK40+'UPT-SatSun'!AK40</f>
        <v>0</v>
      </c>
      <c r="AL40" s="2">
        <f>'UPT-Weekday'!AL40+'UPT-SatSun'!AL40</f>
        <v>0</v>
      </c>
      <c r="AM40" s="2">
        <f t="shared" si="0"/>
        <v>19495.432432432433</v>
      </c>
      <c r="AN40" s="2"/>
    </row>
    <row r="41" spans="1:40">
      <c r="A41" s="23">
        <v>45352</v>
      </c>
      <c r="B41" s="2">
        <f>'UPT-Weekday'!B41+'UPT-SatSun'!B41</f>
        <v>52196</v>
      </c>
      <c r="C41" s="2">
        <f>'UPT-Weekday'!C41+'UPT-SatSun'!C41</f>
        <v>19645</v>
      </c>
      <c r="D41" s="2">
        <f>'UPT-Weekday'!D41+'UPT-SatSun'!D41</f>
        <v>0</v>
      </c>
      <c r="E41" s="2">
        <f>'UPT-Weekday'!E41+'UPT-SatSun'!E41</f>
        <v>18327</v>
      </c>
      <c r="F41" s="2">
        <f>'UPT-Weekday'!F41+'UPT-SatSun'!F41</f>
        <v>38893</v>
      </c>
      <c r="G41" s="2">
        <f>'UPT-Weekday'!G41+'UPT-SatSun'!G41</f>
        <v>23569</v>
      </c>
      <c r="H41" s="2">
        <f>'UPT-Weekday'!H41+'UPT-SatSun'!H41</f>
        <v>7669</v>
      </c>
      <c r="I41" s="2">
        <f>'UPT-Weekday'!I41+'UPT-SatSun'!I41</f>
        <v>7111</v>
      </c>
      <c r="J41" s="2">
        <f>'UPT-Weekday'!J41+'UPT-SatSun'!J41</f>
        <v>13762</v>
      </c>
      <c r="K41" s="2">
        <f>'UPT-Weekday'!K41+'UPT-SatSun'!K41</f>
        <v>14425</v>
      </c>
      <c r="L41" s="2">
        <f>'UPT-Weekday'!L41+'UPT-SatSun'!L41</f>
        <v>20539</v>
      </c>
      <c r="M41" s="2">
        <f>'UPT-Weekday'!M41+'UPT-SatSun'!M41</f>
        <v>0</v>
      </c>
      <c r="N41" s="2">
        <f>'UPT-Weekday'!N41+'UPT-SatSun'!N41</f>
        <v>36852</v>
      </c>
      <c r="O41" s="2">
        <f>'UPT-Weekday'!O41+'UPT-SatSun'!O41</f>
        <v>57927</v>
      </c>
      <c r="P41" s="2">
        <f>'UPT-Weekday'!P41+'UPT-SatSun'!P41</f>
        <v>0</v>
      </c>
      <c r="Q41" s="2">
        <f>'UPT-Weekday'!Q41+'UPT-SatSun'!Q41</f>
        <v>5642</v>
      </c>
      <c r="R41" s="2">
        <f>'UPT-Weekday'!R41+'UPT-SatSun'!R41</f>
        <v>15463</v>
      </c>
      <c r="S41" s="2">
        <f>'UPT-Weekday'!S41+'UPT-SatSun'!S41</f>
        <v>8360</v>
      </c>
      <c r="T41" s="2">
        <f>'UPT-Weekday'!T41+'UPT-SatSun'!T41</f>
        <v>1226</v>
      </c>
      <c r="U41" s="2">
        <f>'UPT-Weekday'!U41+'UPT-SatSun'!U41</f>
        <v>9975</v>
      </c>
      <c r="V41" s="2">
        <f>'UPT-Weekday'!V41+'UPT-SatSun'!V41</f>
        <v>53027</v>
      </c>
      <c r="W41" s="2">
        <f>'UPT-Weekday'!W41+'UPT-SatSun'!W41</f>
        <v>75482</v>
      </c>
      <c r="X41" s="2">
        <f>'UPT-Weekday'!X41+'UPT-SatSun'!X41</f>
        <v>126364</v>
      </c>
      <c r="Y41" s="2">
        <f>'UPT-Weekday'!Y41+'UPT-SatSun'!Y41</f>
        <v>96088</v>
      </c>
      <c r="Z41" s="2">
        <f>'UPT-Weekday'!Z41+'UPT-SatSun'!Z41</f>
        <v>169</v>
      </c>
      <c r="AA41" s="2">
        <f>'UPT-Weekday'!AA41+'UPT-SatSun'!AA41</f>
        <v>931</v>
      </c>
      <c r="AB41" s="2">
        <f>'UPT-Weekday'!AB41+'UPT-SatSun'!AB41</f>
        <v>123</v>
      </c>
      <c r="AC41" s="2">
        <f>'UPT-Weekday'!AC41+'UPT-SatSun'!AC41</f>
        <v>0</v>
      </c>
      <c r="AD41" s="2">
        <f>'UPT-Weekday'!AD41+'UPT-SatSun'!AD41</f>
        <v>2522</v>
      </c>
      <c r="AE41" s="2">
        <f>'UPT-Weekday'!AE41+'UPT-SatSun'!AE41</f>
        <v>7490</v>
      </c>
      <c r="AF41" s="2">
        <f>'UPT-Weekday'!AF41+'UPT-SatSun'!AF41</f>
        <v>7882</v>
      </c>
      <c r="AG41" s="2">
        <f>'UPT-Weekday'!AG41+'UPT-SatSun'!AG41</f>
        <v>5320</v>
      </c>
      <c r="AH41" s="2">
        <f>'UPT-Weekday'!AH41+'UPT-SatSun'!AH41</f>
        <v>2436</v>
      </c>
      <c r="AI41" s="2">
        <f>'UPT-Weekday'!AI41+'UPT-SatSun'!AI41</f>
        <v>1075</v>
      </c>
      <c r="AJ41" s="2">
        <f>'UPT-Weekday'!AJ41+'UPT-SatSun'!AJ41</f>
        <v>2752</v>
      </c>
      <c r="AK41" s="2">
        <f>'UPT-Weekday'!AK41+'UPT-SatSun'!AK41</f>
        <v>0</v>
      </c>
      <c r="AL41" s="2">
        <f>'UPT-Weekday'!AL41+'UPT-SatSun'!AL41</f>
        <v>0</v>
      </c>
      <c r="AM41" s="2">
        <f t="shared" si="0"/>
        <v>19817.35135135135</v>
      </c>
      <c r="AN41" s="2"/>
    </row>
    <row r="42" spans="1:40">
      <c r="A42" s="23">
        <v>45383</v>
      </c>
      <c r="B42" s="2">
        <f>'UPT-Weekday'!B42+'UPT-SatSun'!B42</f>
        <v>54626</v>
      </c>
      <c r="C42" s="2">
        <f>'UPT-Weekday'!C42+'UPT-SatSun'!C42</f>
        <v>19421</v>
      </c>
      <c r="D42" s="2">
        <f>'UPT-Weekday'!D42+'UPT-SatSun'!D42</f>
        <v>0</v>
      </c>
      <c r="E42" s="2">
        <f>'UPT-Weekday'!E42+'UPT-SatSun'!E42</f>
        <v>18242</v>
      </c>
      <c r="F42" s="2">
        <f>'UPT-Weekday'!F42+'UPT-SatSun'!F42</f>
        <v>39689</v>
      </c>
      <c r="G42" s="2">
        <f>'UPT-Weekday'!G42+'UPT-SatSun'!G42</f>
        <v>21081</v>
      </c>
      <c r="H42" s="2">
        <f>'UPT-Weekday'!H42+'UPT-SatSun'!H42</f>
        <v>7384</v>
      </c>
      <c r="I42" s="2">
        <f>'UPT-Weekday'!I42+'UPT-SatSun'!I42</f>
        <v>12251</v>
      </c>
      <c r="J42" s="2">
        <f>'UPT-Weekday'!J42+'UPT-SatSun'!J42</f>
        <v>13924</v>
      </c>
      <c r="K42" s="2">
        <f>'UPT-Weekday'!K42+'UPT-SatSun'!K42</f>
        <v>14267</v>
      </c>
      <c r="L42" s="2">
        <f>'UPT-Weekday'!L42+'UPT-SatSun'!L42</f>
        <v>21262</v>
      </c>
      <c r="M42" s="2">
        <f>'UPT-Weekday'!M42+'UPT-SatSun'!M42</f>
        <v>0</v>
      </c>
      <c r="N42" s="2">
        <f>'UPT-Weekday'!N42+'UPT-SatSun'!N42</f>
        <v>29314</v>
      </c>
      <c r="O42" s="2">
        <f>'UPT-Weekday'!O42+'UPT-SatSun'!O42</f>
        <v>58594</v>
      </c>
      <c r="P42" s="2">
        <f>'UPT-Weekday'!P42+'UPT-SatSun'!P42</f>
        <v>0</v>
      </c>
      <c r="Q42" s="2">
        <f>'UPT-Weekday'!Q42+'UPT-SatSun'!Q42</f>
        <v>3664</v>
      </c>
      <c r="R42" s="2">
        <f>'UPT-Weekday'!R42+'UPT-SatSun'!R42</f>
        <v>15539</v>
      </c>
      <c r="S42" s="2">
        <f>'UPT-Weekday'!S42+'UPT-SatSun'!S42</f>
        <v>7894</v>
      </c>
      <c r="T42" s="2">
        <f>'UPT-Weekday'!T42+'UPT-SatSun'!T42</f>
        <v>2057</v>
      </c>
      <c r="U42" s="2">
        <f>'UPT-Weekday'!U42+'UPT-SatSun'!U42</f>
        <v>10933</v>
      </c>
      <c r="V42" s="2">
        <f>'UPT-Weekday'!V42+'UPT-SatSun'!V42</f>
        <v>55008</v>
      </c>
      <c r="W42" s="2">
        <f>'UPT-Weekday'!W42+'UPT-SatSun'!W42</f>
        <v>78907</v>
      </c>
      <c r="X42" s="2">
        <f>'UPT-Weekday'!X42+'UPT-SatSun'!X42</f>
        <v>125479</v>
      </c>
      <c r="Y42" s="2">
        <f>'UPT-Weekday'!Y42+'UPT-SatSun'!Y42</f>
        <v>98632</v>
      </c>
      <c r="Z42" s="2">
        <f>'UPT-Weekday'!Z42+'UPT-SatSun'!Z42</f>
        <v>423</v>
      </c>
      <c r="AA42" s="2">
        <f>'UPT-Weekday'!AA42+'UPT-SatSun'!AA42</f>
        <v>1401</v>
      </c>
      <c r="AB42" s="2">
        <f>'UPT-Weekday'!AB42+'UPT-SatSun'!AB42</f>
        <v>3707</v>
      </c>
      <c r="AC42" s="2">
        <f>'UPT-Weekday'!AC42+'UPT-SatSun'!AC42</f>
        <v>0</v>
      </c>
      <c r="AD42" s="2">
        <f>'UPT-Weekday'!AD42+'UPT-SatSun'!AD42</f>
        <v>4215</v>
      </c>
      <c r="AE42" s="2">
        <f>'UPT-Weekday'!AE42+'UPT-SatSun'!AE42</f>
        <v>7391</v>
      </c>
      <c r="AF42" s="2">
        <f>'UPT-Weekday'!AF42+'UPT-SatSun'!AF42</f>
        <v>9911</v>
      </c>
      <c r="AG42" s="2">
        <f>'UPT-Weekday'!AG42+'UPT-SatSun'!AG42</f>
        <v>5676</v>
      </c>
      <c r="AH42" s="2">
        <f>'UPT-Weekday'!AH42+'UPT-SatSun'!AH42</f>
        <v>2875</v>
      </c>
      <c r="AI42" s="2">
        <f>'UPT-Weekday'!AI42+'UPT-SatSun'!AI42</f>
        <v>1058</v>
      </c>
      <c r="AJ42" s="2">
        <f>'UPT-Weekday'!AJ42+'UPT-SatSun'!AJ42</f>
        <v>2560</v>
      </c>
      <c r="AK42" s="2">
        <f>'UPT-Weekday'!AK42+'UPT-SatSun'!AK42</f>
        <v>0</v>
      </c>
      <c r="AL42" s="2">
        <f>'UPT-Weekday'!AL42+'UPT-SatSun'!AL42</f>
        <v>0</v>
      </c>
      <c r="AM42" s="2">
        <f t="shared" si="0"/>
        <v>20199.594594594593</v>
      </c>
      <c r="AN42" s="2"/>
    </row>
    <row r="43" spans="1:40">
      <c r="A43" s="23">
        <v>45413</v>
      </c>
      <c r="B43" s="2">
        <f>'UPT-Weekday'!B43+'UPT-SatSun'!B43</f>
        <v>53410</v>
      </c>
      <c r="C43" s="2">
        <f>'UPT-Weekday'!C43+'UPT-SatSun'!C43</f>
        <v>18876</v>
      </c>
      <c r="D43" s="2">
        <f>'UPT-Weekday'!D43+'UPT-SatSun'!D43</f>
        <v>0</v>
      </c>
      <c r="E43" s="2">
        <f>'UPT-Weekday'!E43+'UPT-SatSun'!E43</f>
        <v>18437</v>
      </c>
      <c r="F43" s="2">
        <f>'UPT-Weekday'!F43+'UPT-SatSun'!F43</f>
        <v>36658</v>
      </c>
      <c r="G43" s="2">
        <f>'UPT-Weekday'!G43+'UPT-SatSun'!G43</f>
        <v>21206</v>
      </c>
      <c r="H43" s="2">
        <f>'UPT-Weekday'!H43+'UPT-SatSun'!H43</f>
        <v>7197</v>
      </c>
      <c r="I43" s="2">
        <f>'UPT-Weekday'!I43+'UPT-SatSun'!I43</f>
        <v>12602</v>
      </c>
      <c r="J43" s="2">
        <f>'UPT-Weekday'!J43+'UPT-SatSun'!J43</f>
        <v>13547</v>
      </c>
      <c r="K43" s="2">
        <f>'UPT-Weekday'!K43+'UPT-SatSun'!K43</f>
        <v>16642</v>
      </c>
      <c r="L43" s="2">
        <f>'UPT-Weekday'!L43+'UPT-SatSun'!L43</f>
        <v>20191</v>
      </c>
      <c r="M43" s="2">
        <f>'UPT-Weekday'!M43+'UPT-SatSun'!M43</f>
        <v>0</v>
      </c>
      <c r="N43" s="2">
        <f>'UPT-Weekday'!N43+'UPT-SatSun'!N43</f>
        <v>30969</v>
      </c>
      <c r="O43" s="2">
        <f>'UPT-Weekday'!O43+'UPT-SatSun'!O43</f>
        <v>59052</v>
      </c>
      <c r="P43" s="2">
        <f>'UPT-Weekday'!P43+'UPT-SatSun'!P43</f>
        <v>0</v>
      </c>
      <c r="Q43" s="2">
        <f>'UPT-Weekday'!Q43+'UPT-SatSun'!Q43</f>
        <v>3643</v>
      </c>
      <c r="R43" s="2">
        <f>'UPT-Weekday'!R43+'UPT-SatSun'!R43</f>
        <v>14071</v>
      </c>
      <c r="S43" s="2">
        <f>'UPT-Weekday'!S43+'UPT-SatSun'!S43</f>
        <v>8293</v>
      </c>
      <c r="T43" s="2">
        <f>'UPT-Weekday'!T43+'UPT-SatSun'!T43</f>
        <v>2485</v>
      </c>
      <c r="U43" s="2">
        <f>'UPT-Weekday'!U43+'UPT-SatSun'!U43</f>
        <v>12135</v>
      </c>
      <c r="V43" s="2">
        <f>'UPT-Weekday'!V43+'UPT-SatSun'!V43</f>
        <v>53472</v>
      </c>
      <c r="W43" s="2">
        <f>'UPT-Weekday'!W43+'UPT-SatSun'!W43</f>
        <v>82209</v>
      </c>
      <c r="X43" s="2">
        <f>'UPT-Weekday'!X43+'UPT-SatSun'!X43</f>
        <v>126762</v>
      </c>
      <c r="Y43" s="2">
        <f>'UPT-Weekday'!Y43+'UPT-SatSun'!Y43</f>
        <v>99129</v>
      </c>
      <c r="Z43" s="2">
        <f>'UPT-Weekday'!Z43+'UPT-SatSun'!Z43</f>
        <v>461</v>
      </c>
      <c r="AA43" s="2">
        <f>'UPT-Weekday'!AA43+'UPT-SatSun'!AA43</f>
        <v>1126</v>
      </c>
      <c r="AB43" s="2">
        <f>'UPT-Weekday'!AB43+'UPT-SatSun'!AB43</f>
        <v>4079</v>
      </c>
      <c r="AC43" s="2">
        <f>'UPT-Weekday'!AC43+'UPT-SatSun'!AC43</f>
        <v>0</v>
      </c>
      <c r="AD43" s="2">
        <f>'UPT-Weekday'!AD43+'UPT-SatSun'!AD43</f>
        <v>4916</v>
      </c>
      <c r="AE43" s="2">
        <f>'UPT-Weekday'!AE43+'UPT-SatSun'!AE43</f>
        <v>7261</v>
      </c>
      <c r="AF43" s="2">
        <f>'UPT-Weekday'!AF43+'UPT-SatSun'!AF43</f>
        <v>11398</v>
      </c>
      <c r="AG43" s="2">
        <f>'UPT-Weekday'!AG43+'UPT-SatSun'!AG43</f>
        <v>5247</v>
      </c>
      <c r="AH43" s="2">
        <f>'UPT-Weekday'!AH43+'UPT-SatSun'!AH43</f>
        <v>2355</v>
      </c>
      <c r="AI43" s="2">
        <f>'UPT-Weekday'!AI43+'UPT-SatSun'!AI43</f>
        <v>780</v>
      </c>
      <c r="AJ43" s="2">
        <f>'UPT-Weekday'!AJ43+'UPT-SatSun'!AJ43</f>
        <v>2120</v>
      </c>
      <c r="AK43" s="2">
        <f>'UPT-Weekday'!AK43+'UPT-SatSun'!AK43</f>
        <v>0</v>
      </c>
      <c r="AL43" s="2">
        <f>'UPT-Weekday'!AL43+'UPT-SatSun'!AL43</f>
        <v>0</v>
      </c>
      <c r="AM43" s="2">
        <f t="shared" si="0"/>
        <v>20289.972972972973</v>
      </c>
      <c r="AN43" s="2"/>
    </row>
    <row r="44" spans="1:40">
      <c r="A44" s="23">
        <v>45444</v>
      </c>
      <c r="B44" s="2">
        <f>'UPT-Weekday'!B44+'UPT-SatSun'!B44</f>
        <v>48110</v>
      </c>
      <c r="C44" s="2">
        <f>'UPT-Weekday'!C44+'UPT-SatSun'!C44</f>
        <v>17118</v>
      </c>
      <c r="D44" s="2">
        <f>'UPT-Weekday'!D44+'UPT-SatSun'!D44</f>
        <v>0</v>
      </c>
      <c r="E44" s="2">
        <f>'UPT-Weekday'!E44+'UPT-SatSun'!E44</f>
        <v>15983</v>
      </c>
      <c r="F44" s="2">
        <f>'UPT-Weekday'!F44+'UPT-SatSun'!F44</f>
        <v>33363</v>
      </c>
      <c r="G44" s="2">
        <f>'UPT-Weekday'!G44+'UPT-SatSun'!G44</f>
        <v>19604</v>
      </c>
      <c r="H44" s="2">
        <f>'UPT-Weekday'!H44+'UPT-SatSun'!H44</f>
        <v>6581</v>
      </c>
      <c r="I44" s="2">
        <f>'UPT-Weekday'!I44+'UPT-SatSun'!I44</f>
        <v>12056</v>
      </c>
      <c r="J44" s="2">
        <f>'UPT-Weekday'!J44+'UPT-SatSun'!J44</f>
        <v>12118</v>
      </c>
      <c r="K44" s="2">
        <f>'UPT-Weekday'!K44+'UPT-SatSun'!K44</f>
        <v>15365</v>
      </c>
      <c r="L44" s="2">
        <f>'UPT-Weekday'!L44+'UPT-SatSun'!L44</f>
        <v>17398</v>
      </c>
      <c r="M44" s="2">
        <f>'UPT-Weekday'!M44+'UPT-SatSun'!M44</f>
        <v>0</v>
      </c>
      <c r="N44" s="2">
        <f>'UPT-Weekday'!N44+'UPT-SatSun'!N44</f>
        <v>28871</v>
      </c>
      <c r="O44" s="2">
        <f>'UPT-Weekday'!O44+'UPT-SatSun'!O44</f>
        <v>53778</v>
      </c>
      <c r="P44" s="2">
        <f>'UPT-Weekday'!P44+'UPT-SatSun'!P44</f>
        <v>0</v>
      </c>
      <c r="Q44" s="2">
        <f>'UPT-Weekday'!Q44+'UPT-SatSun'!Q44</f>
        <v>3408</v>
      </c>
      <c r="R44" s="2">
        <f>'UPT-Weekday'!R44+'UPT-SatSun'!R44</f>
        <v>12404</v>
      </c>
      <c r="S44" s="2">
        <f>'UPT-Weekday'!S44+'UPT-SatSun'!S44</f>
        <v>8070</v>
      </c>
      <c r="T44" s="2">
        <f>'UPT-Weekday'!T44+'UPT-SatSun'!T44</f>
        <v>2168</v>
      </c>
      <c r="U44" s="2">
        <f>'UPT-Weekday'!U44+'UPT-SatSun'!U44</f>
        <v>12166</v>
      </c>
      <c r="V44" s="2">
        <f>'UPT-Weekday'!V44+'UPT-SatSun'!V44</f>
        <v>47722</v>
      </c>
      <c r="W44" s="2">
        <f>'UPT-Weekday'!W44+'UPT-SatSun'!W44</f>
        <v>77996</v>
      </c>
      <c r="X44" s="2">
        <f>'UPT-Weekday'!X44+'UPT-SatSun'!X44</f>
        <v>116928</v>
      </c>
      <c r="Y44" s="2">
        <f>'UPT-Weekday'!Y44+'UPT-SatSun'!Y44</f>
        <v>86977</v>
      </c>
      <c r="Z44" s="2">
        <f>'UPT-Weekday'!Z44+'UPT-SatSun'!Z44</f>
        <v>448</v>
      </c>
      <c r="AA44" s="2">
        <f>'UPT-Weekday'!AA44+'UPT-SatSun'!AA44</f>
        <v>736</v>
      </c>
      <c r="AB44" s="2">
        <f>'UPT-Weekday'!AB44+'UPT-SatSun'!AB44</f>
        <v>4195</v>
      </c>
      <c r="AC44" s="2">
        <f>'UPT-Weekday'!AC44+'UPT-SatSun'!AC44</f>
        <v>0</v>
      </c>
      <c r="AD44" s="2">
        <f>'UPT-Weekday'!AD44+'UPT-SatSun'!AD44</f>
        <v>4953</v>
      </c>
      <c r="AE44" s="2">
        <f>'UPT-Weekday'!AE44+'UPT-SatSun'!AE44</f>
        <v>6823</v>
      </c>
      <c r="AF44" s="2">
        <f>'UPT-Weekday'!AF44+'UPT-SatSun'!AF44</f>
        <v>10876</v>
      </c>
      <c r="AG44" s="2">
        <f>'UPT-Weekday'!AG44+'UPT-SatSun'!AG44</f>
        <v>4446</v>
      </c>
      <c r="AH44" s="2">
        <f>'UPT-Weekday'!AH44+'UPT-SatSun'!AH44</f>
        <v>2072</v>
      </c>
      <c r="AI44" s="2">
        <f>'UPT-Weekday'!AI44+'UPT-SatSun'!AI44</f>
        <v>538</v>
      </c>
      <c r="AJ44" s="2">
        <f>'UPT-Weekday'!AJ44+'UPT-SatSun'!AJ44</f>
        <v>1691</v>
      </c>
      <c r="AK44" s="2">
        <f>'UPT-Weekday'!AK44+'UPT-SatSun'!AK44</f>
        <v>0</v>
      </c>
      <c r="AL44" s="2">
        <f>'UPT-Weekday'!AL44+'UPT-SatSun'!AL44</f>
        <v>0</v>
      </c>
      <c r="AM44" s="2">
        <f t="shared" si="0"/>
        <v>18512.486486486487</v>
      </c>
      <c r="AN44" s="2"/>
    </row>
    <row r="45" spans="1:40">
      <c r="A45" s="23">
        <v>45474</v>
      </c>
      <c r="B45" s="2">
        <f>'UPT-Weekday'!B45+'UPT-SatSun'!B45</f>
        <v>49382</v>
      </c>
      <c r="C45" s="2">
        <f>'UPT-Weekday'!C45+'UPT-SatSun'!C45</f>
        <v>17862</v>
      </c>
      <c r="D45" s="2">
        <f>'UPT-Weekday'!D45+'UPT-SatSun'!D45</f>
        <v>0</v>
      </c>
      <c r="E45" s="2">
        <f>'UPT-Weekday'!E45+'UPT-SatSun'!E45</f>
        <v>17272</v>
      </c>
      <c r="F45" s="2">
        <f>'UPT-Weekday'!F45+'UPT-SatSun'!F45</f>
        <v>34761</v>
      </c>
      <c r="G45" s="2">
        <f>'UPT-Weekday'!G45+'UPT-SatSun'!G45</f>
        <v>20205</v>
      </c>
      <c r="H45" s="2">
        <f>'UPT-Weekday'!H45+'UPT-SatSun'!H45</f>
        <v>7231</v>
      </c>
      <c r="I45" s="2">
        <f>'UPT-Weekday'!I45+'UPT-SatSun'!I45</f>
        <v>12670</v>
      </c>
      <c r="J45" s="2">
        <f>'UPT-Weekday'!J45+'UPT-SatSun'!J45</f>
        <v>12092</v>
      </c>
      <c r="K45" s="2">
        <f>'UPT-Weekday'!K45+'UPT-SatSun'!K45</f>
        <v>15107</v>
      </c>
      <c r="L45" s="2">
        <f>'UPT-Weekday'!L45+'UPT-SatSun'!L45</f>
        <v>18187</v>
      </c>
      <c r="M45" s="2">
        <f>'UPT-Weekday'!M45+'UPT-SatSun'!M45</f>
        <v>0</v>
      </c>
      <c r="N45" s="2">
        <f>'UPT-Weekday'!N45+'UPT-SatSun'!N45</f>
        <v>28223</v>
      </c>
      <c r="O45" s="2">
        <f>'UPT-Weekday'!O45+'UPT-SatSun'!O45</f>
        <v>53996</v>
      </c>
      <c r="P45" s="2">
        <f>'UPT-Weekday'!P45+'UPT-SatSun'!P45</f>
        <v>0</v>
      </c>
      <c r="Q45" s="2">
        <f>'UPT-Weekday'!Q45+'UPT-SatSun'!Q45</f>
        <v>3592</v>
      </c>
      <c r="R45" s="2">
        <f>'UPT-Weekday'!R45+'UPT-SatSun'!R45</f>
        <v>11855</v>
      </c>
      <c r="S45" s="2">
        <f>'UPT-Weekday'!S45+'UPT-SatSun'!S45</f>
        <v>8246</v>
      </c>
      <c r="T45" s="2">
        <f>'UPT-Weekday'!T45+'UPT-SatSun'!T45</f>
        <v>2270</v>
      </c>
      <c r="U45" s="2">
        <f>'UPT-Weekday'!U45+'UPT-SatSun'!U45</f>
        <v>11902</v>
      </c>
      <c r="V45" s="2">
        <f>'UPT-Weekday'!V45+'UPT-SatSun'!V45</f>
        <v>50168</v>
      </c>
      <c r="W45" s="2">
        <f>'UPT-Weekday'!W45+'UPT-SatSun'!W45</f>
        <v>77675</v>
      </c>
      <c r="X45" s="2">
        <f>'UPT-Weekday'!X45+'UPT-SatSun'!X45</f>
        <v>116933</v>
      </c>
      <c r="Y45" s="2">
        <f>'UPT-Weekday'!Y45+'UPT-SatSun'!Y45</f>
        <v>91926</v>
      </c>
      <c r="Z45" s="2">
        <f>'UPT-Weekday'!Z45+'UPT-SatSun'!Z45</f>
        <v>486</v>
      </c>
      <c r="AA45" s="2">
        <f>'UPT-Weekday'!AA45+'UPT-SatSun'!AA45</f>
        <v>779</v>
      </c>
      <c r="AB45" s="2">
        <f>'UPT-Weekday'!AB45+'UPT-SatSun'!AB45</f>
        <v>3997</v>
      </c>
      <c r="AC45" s="2">
        <f>'UPT-Weekday'!AC45+'UPT-SatSun'!AC45</f>
        <v>0</v>
      </c>
      <c r="AD45" s="2">
        <f>'UPT-Weekday'!AD45+'UPT-SatSun'!AD45</f>
        <v>5473</v>
      </c>
      <c r="AE45" s="2">
        <f>'UPT-Weekday'!AE45+'UPT-SatSun'!AE45</f>
        <v>7217</v>
      </c>
      <c r="AF45" s="2">
        <f>'UPT-Weekday'!AF45+'UPT-SatSun'!AF45</f>
        <v>11500</v>
      </c>
      <c r="AG45" s="2">
        <f>'UPT-Weekday'!AG45+'UPT-SatSun'!AG45</f>
        <v>4626</v>
      </c>
      <c r="AH45" s="2">
        <f>'UPT-Weekday'!AH45+'UPT-SatSun'!AH45</f>
        <v>2064</v>
      </c>
      <c r="AI45" s="2">
        <f>'UPT-Weekday'!AI45+'UPT-SatSun'!AI45</f>
        <v>667</v>
      </c>
      <c r="AJ45" s="2">
        <f>'UPT-Weekday'!AJ45+'UPT-SatSun'!AJ45</f>
        <v>2375</v>
      </c>
      <c r="AK45" s="2">
        <f>'UPT-Weekday'!AK45+'UPT-SatSun'!AK45</f>
        <v>0</v>
      </c>
      <c r="AL45" s="2">
        <f>'UPT-Weekday'!AL45+'UPT-SatSun'!AL45</f>
        <v>0</v>
      </c>
      <c r="AM45" s="2">
        <f t="shared" si="0"/>
        <v>18938.891891891893</v>
      </c>
      <c r="AN45" s="2"/>
    </row>
    <row r="46" spans="1:40">
      <c r="A46" s="23">
        <v>45505</v>
      </c>
      <c r="B46" s="2">
        <f>'UPT-Weekday'!B46+'UPT-SatSun'!B46</f>
        <v>57774</v>
      </c>
      <c r="C46" s="2">
        <f>'UPT-Weekday'!C46+'UPT-SatSun'!C46</f>
        <v>21271</v>
      </c>
      <c r="D46" s="2">
        <f>'UPT-Weekday'!D46+'UPT-SatSun'!D46</f>
        <v>0</v>
      </c>
      <c r="E46" s="2">
        <f>'UPT-Weekday'!E46+'UPT-SatSun'!E46</f>
        <v>19975</v>
      </c>
      <c r="F46" s="2">
        <f>'UPT-Weekday'!F46+'UPT-SatSun'!F46</f>
        <v>41441</v>
      </c>
      <c r="G46" s="2">
        <f>'UPT-Weekday'!G46+'UPT-SatSun'!G46</f>
        <v>22471</v>
      </c>
      <c r="H46" s="2">
        <f>'UPT-Weekday'!H46+'UPT-SatSun'!H46</f>
        <v>7994</v>
      </c>
      <c r="I46" s="2">
        <f>'UPT-Weekday'!I46+'UPT-SatSun'!I46</f>
        <v>13579</v>
      </c>
      <c r="J46" s="2">
        <f>'UPT-Weekday'!J46+'UPT-SatSun'!J46</f>
        <v>15373</v>
      </c>
      <c r="K46" s="2">
        <f>'UPT-Weekday'!K46+'UPT-SatSun'!K46</f>
        <v>16789</v>
      </c>
      <c r="L46" s="2">
        <f>'UPT-Weekday'!L46+'UPT-SatSun'!L46</f>
        <v>22192</v>
      </c>
      <c r="M46" s="2">
        <f>'UPT-Weekday'!M46+'UPT-SatSun'!M46</f>
        <v>0</v>
      </c>
      <c r="N46" s="2">
        <f>'UPT-Weekday'!N46+'UPT-SatSun'!N46</f>
        <v>31644</v>
      </c>
      <c r="O46" s="2">
        <f>'UPT-Weekday'!O46+'UPT-SatSun'!O46</f>
        <v>59733</v>
      </c>
      <c r="P46" s="2">
        <f>'UPT-Weekday'!P46+'UPT-SatSun'!P46</f>
        <v>0</v>
      </c>
      <c r="Q46" s="2">
        <f>'UPT-Weekday'!Q46+'UPT-SatSun'!Q46</f>
        <v>4267</v>
      </c>
      <c r="R46" s="2">
        <f>'UPT-Weekday'!R46+'UPT-SatSun'!R46</f>
        <v>15438</v>
      </c>
      <c r="S46" s="2">
        <f>'UPT-Weekday'!S46+'UPT-SatSun'!S46</f>
        <v>8806</v>
      </c>
      <c r="T46" s="2">
        <f>'UPT-Weekday'!T46+'UPT-SatSun'!T46</f>
        <v>2714</v>
      </c>
      <c r="U46" s="2">
        <f>'UPT-Weekday'!U46+'UPT-SatSun'!U46</f>
        <v>12449</v>
      </c>
      <c r="V46" s="2">
        <f>'UPT-Weekday'!V46+'UPT-SatSun'!V46</f>
        <v>61617</v>
      </c>
      <c r="W46" s="2">
        <f>'UPT-Weekday'!W46+'UPT-SatSun'!W46</f>
        <v>83889</v>
      </c>
      <c r="X46" s="2">
        <f>'UPT-Weekday'!X46+'UPT-SatSun'!X46</f>
        <v>129881</v>
      </c>
      <c r="Y46" s="2">
        <f>'UPT-Weekday'!Y46+'UPT-SatSun'!Y46</f>
        <v>106030</v>
      </c>
      <c r="Z46" s="2">
        <f>'UPT-Weekday'!Z46+'UPT-SatSun'!Z46</f>
        <v>488</v>
      </c>
      <c r="AA46" s="2">
        <f>'UPT-Weekday'!AA46+'UPT-SatSun'!AA46</f>
        <v>1654</v>
      </c>
      <c r="AB46" s="2">
        <f>'UPT-Weekday'!AB46+'UPT-SatSun'!AB46</f>
        <v>4920</v>
      </c>
      <c r="AC46" s="2">
        <f>'UPT-Weekday'!AC46+'UPT-SatSun'!AC46</f>
        <v>0</v>
      </c>
      <c r="AD46" s="2">
        <f>'UPT-Weekday'!AD46+'UPT-SatSun'!AD46</f>
        <v>7598</v>
      </c>
      <c r="AE46" s="2">
        <f>'UPT-Weekday'!AE46+'UPT-SatSun'!AE46</f>
        <v>7733</v>
      </c>
      <c r="AF46" s="2">
        <f>'UPT-Weekday'!AF46+'UPT-SatSun'!AF46</f>
        <v>12860</v>
      </c>
      <c r="AG46" s="2">
        <f>'UPT-Weekday'!AG46+'UPT-SatSun'!AG46</f>
        <v>5054</v>
      </c>
      <c r="AH46" s="2">
        <f>'UPT-Weekday'!AH46+'UPT-SatSun'!AH46</f>
        <v>2244</v>
      </c>
      <c r="AI46" s="2">
        <f>'UPT-Weekday'!AI46+'UPT-SatSun'!AI46</f>
        <v>1260</v>
      </c>
      <c r="AJ46" s="2">
        <f>'UPT-Weekday'!AJ46+'UPT-SatSun'!AJ46</f>
        <v>3018</v>
      </c>
      <c r="AK46" s="2">
        <f>'UPT-Weekday'!AK46+'UPT-SatSun'!AK46</f>
        <v>0</v>
      </c>
      <c r="AL46" s="2">
        <f>'UPT-Weekday'!AL46+'UPT-SatSun'!AL46</f>
        <v>0</v>
      </c>
      <c r="AM46" s="2">
        <f t="shared" si="0"/>
        <v>21679.891891891893</v>
      </c>
      <c r="AN46" s="2"/>
    </row>
    <row r="47" spans="1:40">
      <c r="A47" s="23">
        <v>45536</v>
      </c>
      <c r="B47" s="2">
        <f>'UPT-Weekday'!B47+'UPT-SatSun'!B47</f>
        <v>56050</v>
      </c>
      <c r="C47" s="2">
        <f>'UPT-Weekday'!C47+'UPT-SatSun'!C47</f>
        <v>21483</v>
      </c>
      <c r="D47" s="2">
        <f>'UPT-Weekday'!D47+'UPT-SatSun'!D47</f>
        <v>0</v>
      </c>
      <c r="E47" s="2">
        <f>'UPT-Weekday'!E47+'UPT-SatSun'!E47</f>
        <v>19153</v>
      </c>
      <c r="F47" s="2">
        <f>'UPT-Weekday'!F47+'UPT-SatSun'!F47</f>
        <v>41154</v>
      </c>
      <c r="G47" s="2">
        <f>'UPT-Weekday'!G47+'UPT-SatSun'!G47</f>
        <v>21185</v>
      </c>
      <c r="H47" s="2">
        <f>'UPT-Weekday'!H47+'UPT-SatSun'!H47</f>
        <v>7619</v>
      </c>
      <c r="I47" s="2">
        <f>'UPT-Weekday'!I47+'UPT-SatSun'!I47</f>
        <v>13338</v>
      </c>
      <c r="J47" s="2">
        <f>'UPT-Weekday'!J47+'UPT-SatSun'!J47</f>
        <v>15714</v>
      </c>
      <c r="K47" s="2">
        <f>'UPT-Weekday'!K47+'UPT-SatSun'!K47</f>
        <v>15844</v>
      </c>
      <c r="L47" s="2">
        <f>'UPT-Weekday'!L47+'UPT-SatSun'!L47</f>
        <v>21847</v>
      </c>
      <c r="M47" s="2">
        <f>'UPT-Weekday'!M47+'UPT-SatSun'!M47</f>
        <v>0</v>
      </c>
      <c r="N47" s="2">
        <f>'UPT-Weekday'!N47+'UPT-SatSun'!N47</f>
        <v>30983</v>
      </c>
      <c r="O47" s="2">
        <f>'UPT-Weekday'!O47+'UPT-SatSun'!O47</f>
        <v>56713</v>
      </c>
      <c r="P47" s="2">
        <f>'UPT-Weekday'!P47+'UPT-SatSun'!P47</f>
        <v>0</v>
      </c>
      <c r="Q47" s="2">
        <f>'UPT-Weekday'!Q47+'UPT-SatSun'!Q47</f>
        <v>4023</v>
      </c>
      <c r="R47" s="2">
        <f>'UPT-Weekday'!R47+'UPT-SatSun'!R47</f>
        <v>15958</v>
      </c>
      <c r="S47" s="2">
        <f>'UPT-Weekday'!S47+'UPT-SatSun'!S47</f>
        <v>9185</v>
      </c>
      <c r="T47" s="2">
        <f>'UPT-Weekday'!T47+'UPT-SatSun'!T47</f>
        <v>2746</v>
      </c>
      <c r="U47" s="2">
        <f>'UPT-Weekday'!U47+'UPT-SatSun'!U47</f>
        <v>12348</v>
      </c>
      <c r="V47" s="2">
        <f>'UPT-Weekday'!V47+'UPT-SatSun'!V47</f>
        <v>57853</v>
      </c>
      <c r="W47" s="2">
        <f>'UPT-Weekday'!W47+'UPT-SatSun'!W47</f>
        <v>77752</v>
      </c>
      <c r="X47" s="2">
        <f>'UPT-Weekday'!X47+'UPT-SatSun'!X47</f>
        <v>123383</v>
      </c>
      <c r="Y47" s="2">
        <f>'UPT-Weekday'!Y47+'UPT-SatSun'!Y47</f>
        <v>102850</v>
      </c>
      <c r="Z47" s="2">
        <f>'UPT-Weekday'!Z47+'UPT-SatSun'!Z47</f>
        <v>541</v>
      </c>
      <c r="AA47" s="2">
        <f>'UPT-Weekday'!AA47+'UPT-SatSun'!AA47</f>
        <v>1682</v>
      </c>
      <c r="AB47" s="2">
        <f>'UPT-Weekday'!AB47+'UPT-SatSun'!AB47</f>
        <v>4844</v>
      </c>
      <c r="AC47" s="2">
        <f>'UPT-Weekday'!AC47+'UPT-SatSun'!AC47</f>
        <v>0</v>
      </c>
      <c r="AD47" s="2">
        <f>'UPT-Weekday'!AD47+'UPT-SatSun'!AD47</f>
        <v>8424</v>
      </c>
      <c r="AE47" s="2">
        <f>'UPT-Weekday'!AE47+'UPT-SatSun'!AE47</f>
        <v>7565</v>
      </c>
      <c r="AF47" s="2">
        <f>'UPT-Weekday'!AF47+'UPT-SatSun'!AF47</f>
        <v>12554</v>
      </c>
      <c r="AG47" s="2">
        <f>'UPT-Weekday'!AG47+'UPT-SatSun'!AG47</f>
        <v>4856</v>
      </c>
      <c r="AH47" s="2">
        <f>'UPT-Weekday'!AH47+'UPT-SatSun'!AH47</f>
        <v>2658</v>
      </c>
      <c r="AI47" s="2">
        <f>'UPT-Weekday'!AI47+'UPT-SatSun'!AI47</f>
        <v>1244</v>
      </c>
      <c r="AJ47" s="2">
        <f>'UPT-Weekday'!AJ47+'UPT-SatSun'!AJ47</f>
        <v>2545</v>
      </c>
      <c r="AK47" s="2">
        <f>'UPT-Weekday'!AK47+'UPT-SatSun'!AK47</f>
        <v>0</v>
      </c>
      <c r="AL47" s="2">
        <f>'UPT-Weekday'!AL47+'UPT-SatSun'!AL47</f>
        <v>0</v>
      </c>
      <c r="AM47" s="2">
        <f t="shared" si="0"/>
        <v>20921.45945945946</v>
      </c>
      <c r="AN47" s="2"/>
    </row>
    <row r="48" spans="1:40">
      <c r="A48" s="23">
        <v>45566</v>
      </c>
      <c r="B48" s="2">
        <f>'UPT-Weekday'!B48+'UPT-SatSun'!B48</f>
        <v>59328</v>
      </c>
      <c r="C48" s="2">
        <f>'UPT-Weekday'!C48+'UPT-SatSun'!C48</f>
        <v>24186</v>
      </c>
      <c r="D48" s="2">
        <f>'UPT-Weekday'!D48+'UPT-SatSun'!D48</f>
        <v>0</v>
      </c>
      <c r="E48" s="2">
        <f>'UPT-Weekday'!E48+'UPT-SatSun'!E48</f>
        <v>20735</v>
      </c>
      <c r="F48" s="2">
        <f>'UPT-Weekday'!F48+'UPT-SatSun'!F48</f>
        <v>44851</v>
      </c>
      <c r="G48" s="2">
        <f>'UPT-Weekday'!G48+'UPT-SatSun'!G48</f>
        <v>23414</v>
      </c>
      <c r="H48" s="2">
        <f>'UPT-Weekday'!H48+'UPT-SatSun'!H48</f>
        <v>8882</v>
      </c>
      <c r="I48" s="2">
        <f>'UPT-Weekday'!I48+'UPT-SatSun'!I48</f>
        <v>14453</v>
      </c>
      <c r="J48" s="2">
        <f>'UPT-Weekday'!J48+'UPT-SatSun'!J48</f>
        <v>16101</v>
      </c>
      <c r="K48" s="2">
        <f>'UPT-Weekday'!K48+'UPT-SatSun'!K48</f>
        <v>17269</v>
      </c>
      <c r="L48" s="2">
        <f>'UPT-Weekday'!L48+'UPT-SatSun'!L48</f>
        <v>23627</v>
      </c>
      <c r="M48" s="2">
        <f>'UPT-Weekday'!M48+'UPT-SatSun'!M48</f>
        <v>0</v>
      </c>
      <c r="N48" s="2">
        <f>'UPT-Weekday'!N48+'UPT-SatSun'!N48</f>
        <v>34036</v>
      </c>
      <c r="O48" s="2">
        <f>'UPT-Weekday'!O48+'UPT-SatSun'!O48</f>
        <v>63110</v>
      </c>
      <c r="P48" s="2">
        <f>'UPT-Weekday'!P48+'UPT-SatSun'!P48</f>
        <v>0</v>
      </c>
      <c r="Q48" s="2">
        <f>'UPT-Weekday'!Q48+'UPT-SatSun'!Q48</f>
        <v>4354</v>
      </c>
      <c r="R48" s="2">
        <f>'UPT-Weekday'!R48+'UPT-SatSun'!R48</f>
        <v>16160</v>
      </c>
      <c r="S48" s="2">
        <f>'UPT-Weekday'!S48+'UPT-SatSun'!S48</f>
        <v>10288</v>
      </c>
      <c r="T48" s="2">
        <f>'UPT-Weekday'!T48+'UPT-SatSun'!T48</f>
        <v>3264</v>
      </c>
      <c r="U48" s="2">
        <f>'UPT-Weekday'!U48+'UPT-SatSun'!U48</f>
        <v>13583</v>
      </c>
      <c r="V48" s="2">
        <f>'UPT-Weekday'!V48+'UPT-SatSun'!V48</f>
        <v>61749</v>
      </c>
      <c r="W48" s="2">
        <f>'UPT-Weekday'!W48+'UPT-SatSun'!W48</f>
        <v>82357</v>
      </c>
      <c r="X48" s="2">
        <f>'UPT-Weekday'!X48+'UPT-SatSun'!X48</f>
        <v>131705</v>
      </c>
      <c r="Y48" s="2">
        <f>'UPT-Weekday'!Y48+'UPT-SatSun'!Y48</f>
        <v>108912</v>
      </c>
      <c r="Z48" s="2">
        <f>'UPT-Weekday'!Z48+'UPT-SatSun'!Z48</f>
        <v>590</v>
      </c>
      <c r="AA48" s="2">
        <f>'UPT-Weekday'!AA48+'UPT-SatSun'!AA48</f>
        <v>1545</v>
      </c>
      <c r="AB48" s="2">
        <f>'UPT-Weekday'!AB48+'UPT-SatSun'!AB48</f>
        <v>5622</v>
      </c>
      <c r="AC48" s="2">
        <f>'UPT-Weekday'!AC48+'UPT-SatSun'!AC48</f>
        <v>0</v>
      </c>
      <c r="AD48" s="2">
        <f>'UPT-Weekday'!AD48+'UPT-SatSun'!AD48</f>
        <v>9184</v>
      </c>
      <c r="AE48" s="2">
        <f>'UPT-Weekday'!AE48+'UPT-SatSun'!AE48</f>
        <v>8505</v>
      </c>
      <c r="AF48" s="2">
        <f>'UPT-Weekday'!AF48+'UPT-SatSun'!AF48</f>
        <v>13505</v>
      </c>
      <c r="AG48" s="2">
        <f>'UPT-Weekday'!AG48+'UPT-SatSun'!AG48</f>
        <v>5205</v>
      </c>
      <c r="AH48" s="2">
        <f>'UPT-Weekday'!AH48+'UPT-SatSun'!AH48</f>
        <v>2824</v>
      </c>
      <c r="AI48" s="2">
        <f>'UPT-Weekday'!AI48+'UPT-SatSun'!AI48</f>
        <v>778</v>
      </c>
      <c r="AJ48" s="2">
        <f>'UPT-Weekday'!AJ48+'UPT-SatSun'!AJ48</f>
        <v>2755</v>
      </c>
      <c r="AK48" s="2">
        <f>'UPT-Weekday'!AK48+'UPT-SatSun'!AK48</f>
        <v>0</v>
      </c>
      <c r="AL48" s="2">
        <f>'UPT-Weekday'!AL48+'UPT-SatSun'!AL48</f>
        <v>0</v>
      </c>
      <c r="AM48" s="2">
        <f t="shared" si="0"/>
        <v>22510.18918918919</v>
      </c>
      <c r="AN48" s="2"/>
    </row>
    <row r="49" spans="1:40">
      <c r="A49" s="23">
        <v>45597</v>
      </c>
      <c r="B49" s="2">
        <f>'UPT-Weekday'!B49+'UPT-SatSun'!B49</f>
        <v>49087</v>
      </c>
      <c r="C49" s="2">
        <f>'UPT-Weekday'!C49+'UPT-SatSun'!C49</f>
        <v>21279</v>
      </c>
      <c r="D49" s="2">
        <f>'UPT-Weekday'!D49+'UPT-SatSun'!D49</f>
        <v>0</v>
      </c>
      <c r="E49" s="2">
        <f>'UPT-Weekday'!E49+'UPT-SatSun'!E49</f>
        <v>18294</v>
      </c>
      <c r="F49" s="2">
        <f>'UPT-Weekday'!F49+'UPT-SatSun'!F49</f>
        <v>38035</v>
      </c>
      <c r="G49" s="2">
        <f>'UPT-Weekday'!G49+'UPT-SatSun'!G49</f>
        <v>22332</v>
      </c>
      <c r="H49" s="2">
        <f>'UPT-Weekday'!H49+'UPT-SatSun'!H49</f>
        <v>6754</v>
      </c>
      <c r="I49" s="2">
        <f>'UPT-Weekday'!I49+'UPT-SatSun'!I49</f>
        <v>13606</v>
      </c>
      <c r="J49" s="2">
        <f>'UPT-Weekday'!J49+'UPT-SatSun'!J49</f>
        <v>13646</v>
      </c>
      <c r="K49" s="2">
        <f>'UPT-Weekday'!K49+'UPT-SatSun'!K49</f>
        <v>14693</v>
      </c>
      <c r="L49" s="2">
        <f>'UPT-Weekday'!L49+'UPT-SatSun'!L49</f>
        <v>19608</v>
      </c>
      <c r="M49" s="2">
        <f>'UPT-Weekday'!M49+'UPT-SatSun'!M49</f>
        <v>0</v>
      </c>
      <c r="N49" s="2">
        <f>'UPT-Weekday'!N49+'UPT-SatSun'!N49</f>
        <v>30290</v>
      </c>
      <c r="O49" s="2">
        <f>'UPT-Weekday'!O49+'UPT-SatSun'!O49</f>
        <v>54921</v>
      </c>
      <c r="P49" s="2">
        <f>'UPT-Weekday'!P49+'UPT-SatSun'!P49</f>
        <v>0</v>
      </c>
      <c r="Q49" s="2">
        <f>'UPT-Weekday'!Q49+'UPT-SatSun'!Q49</f>
        <v>3583</v>
      </c>
      <c r="R49" s="2">
        <f>'UPT-Weekday'!R49+'UPT-SatSun'!R49</f>
        <v>13475</v>
      </c>
      <c r="S49" s="2">
        <f>'UPT-Weekday'!S49+'UPT-SatSun'!S49</f>
        <v>9165</v>
      </c>
      <c r="T49" s="2">
        <f>'UPT-Weekday'!T49+'UPT-SatSun'!T49</f>
        <v>3296</v>
      </c>
      <c r="U49" s="2">
        <f>'UPT-Weekday'!U49+'UPT-SatSun'!U49</f>
        <v>11291</v>
      </c>
      <c r="V49" s="2">
        <f>'UPT-Weekday'!V49+'UPT-SatSun'!V49</f>
        <v>54016</v>
      </c>
      <c r="W49" s="2">
        <f>'UPT-Weekday'!W49+'UPT-SatSun'!W49</f>
        <v>69363</v>
      </c>
      <c r="X49" s="2">
        <f>'UPT-Weekday'!X49+'UPT-SatSun'!X49</f>
        <v>116318</v>
      </c>
      <c r="Y49" s="2">
        <f>'UPT-Weekday'!Y49+'UPT-SatSun'!Y49</f>
        <v>99782</v>
      </c>
      <c r="Z49" s="2">
        <f>'UPT-Weekday'!Z49+'UPT-SatSun'!Z49</f>
        <v>504</v>
      </c>
      <c r="AA49" s="2">
        <f>'UPT-Weekday'!AA49+'UPT-SatSun'!AA49</f>
        <v>1244</v>
      </c>
      <c r="AB49" s="2">
        <f>'UPT-Weekday'!AB49+'UPT-SatSun'!AB49</f>
        <v>5514</v>
      </c>
      <c r="AC49" s="2">
        <f>'UPT-Weekday'!AC49+'UPT-SatSun'!AC49</f>
        <v>0</v>
      </c>
      <c r="AD49" s="2">
        <f>'UPT-Weekday'!AD49+'UPT-SatSun'!AD49</f>
        <v>7860</v>
      </c>
      <c r="AE49" s="2">
        <f>'UPT-Weekday'!AE49+'UPT-SatSun'!AE49</f>
        <v>7925</v>
      </c>
      <c r="AF49" s="2">
        <f>'UPT-Weekday'!AF49+'UPT-SatSun'!AF49</f>
        <v>11658</v>
      </c>
      <c r="AG49" s="2">
        <f>'UPT-Weekday'!AG49+'UPT-SatSun'!AG49</f>
        <v>4380</v>
      </c>
      <c r="AH49" s="2">
        <f>'UPT-Weekday'!AH49+'UPT-SatSun'!AH49</f>
        <v>2351</v>
      </c>
      <c r="AI49" s="2">
        <f>'UPT-Weekday'!AI49+'UPT-SatSun'!AI49</f>
        <v>627</v>
      </c>
      <c r="AJ49" s="2">
        <f>'UPT-Weekday'!AJ49+'UPT-SatSun'!AJ49</f>
        <v>2658</v>
      </c>
      <c r="AK49" s="2">
        <f>'UPT-Weekday'!AK49+'UPT-SatSun'!AK49</f>
        <v>0</v>
      </c>
      <c r="AL49" s="2">
        <f>'UPT-Weekday'!AL49+'UPT-SatSun'!AL49</f>
        <v>0</v>
      </c>
      <c r="AM49" s="2">
        <f t="shared" si="0"/>
        <v>19663.64864864865</v>
      </c>
      <c r="AN49" s="2"/>
    </row>
    <row r="50" spans="1:40">
      <c r="A50" s="23">
        <v>45627</v>
      </c>
      <c r="B50" s="2">
        <f>'UPT-Weekday'!B50+'UPT-SatSun'!B50</f>
        <v>43680</v>
      </c>
      <c r="C50" s="2">
        <f>'UPT-Weekday'!C50+'UPT-SatSun'!C50</f>
        <v>20068</v>
      </c>
      <c r="D50" s="2">
        <f>'UPT-Weekday'!D50+'UPT-SatSun'!D50</f>
        <v>0</v>
      </c>
      <c r="E50" s="2">
        <f>'UPT-Weekday'!E50+'UPT-SatSun'!E50</f>
        <v>16394</v>
      </c>
      <c r="F50" s="2">
        <f>'UPT-Weekday'!F50+'UPT-SatSun'!F50</f>
        <v>32781</v>
      </c>
      <c r="G50" s="2">
        <f>'UPT-Weekday'!G50+'UPT-SatSun'!G50</f>
        <v>22126</v>
      </c>
      <c r="H50" s="2">
        <f>'UPT-Weekday'!H50+'UPT-SatSun'!H50</f>
        <v>6556</v>
      </c>
      <c r="I50" s="2">
        <f>'UPT-Weekday'!I50+'UPT-SatSun'!I50</f>
        <v>12773</v>
      </c>
      <c r="J50" s="2">
        <f>'UPT-Weekday'!J50+'UPT-SatSun'!J50</f>
        <v>12240</v>
      </c>
      <c r="K50" s="2">
        <f>'UPT-Weekday'!K50+'UPT-SatSun'!K50</f>
        <v>13069</v>
      </c>
      <c r="L50" s="2">
        <f>'UPT-Weekday'!L50+'UPT-SatSun'!L50</f>
        <v>17663</v>
      </c>
      <c r="M50" s="2">
        <f>'UPT-Weekday'!M50+'UPT-SatSun'!M50</f>
        <v>0</v>
      </c>
      <c r="N50" s="2">
        <f>'UPT-Weekday'!N50+'UPT-SatSun'!N50</f>
        <v>28620</v>
      </c>
      <c r="O50" s="2">
        <f>'UPT-Weekday'!O50+'UPT-SatSun'!O50</f>
        <v>53482</v>
      </c>
      <c r="P50" s="2">
        <f>'UPT-Weekday'!P50+'UPT-SatSun'!P50</f>
        <v>0</v>
      </c>
      <c r="Q50" s="2">
        <f>'UPT-Weekday'!Q50+'UPT-SatSun'!Q50</f>
        <v>3314</v>
      </c>
      <c r="R50" s="2">
        <f>'UPT-Weekday'!R50+'UPT-SatSun'!R50</f>
        <v>11150</v>
      </c>
      <c r="S50" s="2">
        <f>'UPT-Weekday'!S50+'UPT-SatSun'!S50</f>
        <v>9279</v>
      </c>
      <c r="T50" s="2">
        <f>'UPT-Weekday'!T50+'UPT-SatSun'!T50</f>
        <v>2793</v>
      </c>
      <c r="U50" s="2">
        <f>'UPT-Weekday'!U50+'UPT-SatSun'!U50</f>
        <v>8160</v>
      </c>
      <c r="V50" s="2">
        <f>'UPT-Weekday'!V50+'UPT-SatSun'!V50</f>
        <v>51819</v>
      </c>
      <c r="W50" s="2">
        <f>'UPT-Weekday'!W50+'UPT-SatSun'!W50</f>
        <v>62568</v>
      </c>
      <c r="X50" s="2">
        <f>'UPT-Weekday'!X50+'UPT-SatSun'!X50</f>
        <v>109280</v>
      </c>
      <c r="Y50" s="2">
        <f>'UPT-Weekday'!Y50+'UPT-SatSun'!Y50</f>
        <v>97022</v>
      </c>
      <c r="Z50" s="2">
        <f>'UPT-Weekday'!Z50+'UPT-SatSun'!Z50</f>
        <v>1628</v>
      </c>
      <c r="AA50" s="2">
        <f>'UPT-Weekday'!AA50+'UPT-SatSun'!AA50</f>
        <v>1168</v>
      </c>
      <c r="AB50" s="2">
        <f>'UPT-Weekday'!AB50+'UPT-SatSun'!AB50</f>
        <v>5101</v>
      </c>
      <c r="AC50" s="2">
        <f>'UPT-Weekday'!AC50+'UPT-SatSun'!AC50</f>
        <v>0</v>
      </c>
      <c r="AD50" s="2">
        <f>'UPT-Weekday'!AD50+'UPT-SatSun'!AD50</f>
        <v>6346</v>
      </c>
      <c r="AE50" s="2">
        <f>'UPT-Weekday'!AE50+'UPT-SatSun'!AE50</f>
        <v>7632</v>
      </c>
      <c r="AF50" s="2">
        <f>'UPT-Weekday'!AF50+'UPT-SatSun'!AF50</f>
        <v>10408</v>
      </c>
      <c r="AG50" s="2">
        <f>'UPT-Weekday'!AG50+'UPT-SatSun'!AG50</f>
        <v>4332</v>
      </c>
      <c r="AH50" s="2">
        <f>'UPT-Weekday'!AH50+'UPT-SatSun'!AH50</f>
        <v>1825</v>
      </c>
      <c r="AI50" s="2">
        <f>'UPT-Weekday'!AI50+'UPT-SatSun'!AI50</f>
        <v>482</v>
      </c>
      <c r="AJ50" s="2">
        <f>'UPT-Weekday'!AJ50+'UPT-SatSun'!AJ50</f>
        <v>2485</v>
      </c>
      <c r="AK50" s="2">
        <f>'UPT-Weekday'!AK50+'UPT-SatSun'!AK50</f>
        <v>0</v>
      </c>
      <c r="AL50" s="2">
        <f>'UPT-Weekday'!AL50+'UPT-SatSun'!AL50</f>
        <v>0</v>
      </c>
      <c r="AM50" s="2">
        <f t="shared" si="0"/>
        <v>18276.864864864863</v>
      </c>
      <c r="AN50" s="2"/>
    </row>
    <row r="51" spans="1:40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40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40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40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40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40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40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40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40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40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40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40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40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40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2:37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2:37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2:3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2:37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2:37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2:37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2:37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2:37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2:37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2:37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2:37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2:3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2:37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2:37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2:37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2:37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2:37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2:37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2:37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2:37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2:37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2:3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2:37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2:37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2:37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2:37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2:37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2:37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2:37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2:37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2:37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AE06-8EE4-41BE-AE2E-29DE86922B6C}">
  <dimension ref="A1:AL89"/>
  <sheetViews>
    <sheetView tabSelected="1" workbookViewId="0">
      <pane xSplit="1" topLeftCell="X1" activePane="topRight" state="frozen"/>
      <selection pane="topRight" activeCell="Z21" sqref="Z21"/>
    </sheetView>
  </sheetViews>
  <sheetFormatPr defaultRowHeight="14.25"/>
  <sheetData>
    <row r="1" spans="1:38" s="4" customFormat="1" ht="15">
      <c r="A1" s="24" t="s">
        <v>1</v>
      </c>
      <c r="B1" s="29">
        <v>3</v>
      </c>
      <c r="C1" s="29">
        <v>4</v>
      </c>
      <c r="D1" s="29">
        <v>5</v>
      </c>
      <c r="E1" s="29">
        <v>6</v>
      </c>
      <c r="F1" s="29">
        <v>7</v>
      </c>
      <c r="G1" s="29">
        <v>8</v>
      </c>
      <c r="H1" s="29">
        <v>9</v>
      </c>
      <c r="I1" s="29">
        <v>14</v>
      </c>
      <c r="J1" s="29">
        <v>17</v>
      </c>
      <c r="K1" s="29">
        <v>18</v>
      </c>
      <c r="L1" s="29">
        <v>19</v>
      </c>
      <c r="M1" s="29">
        <v>21</v>
      </c>
      <c r="N1" s="29">
        <v>22</v>
      </c>
      <c r="O1" s="29">
        <v>23</v>
      </c>
      <c r="P1" s="29">
        <v>25</v>
      </c>
      <c r="Q1" s="29">
        <v>28</v>
      </c>
      <c r="R1" s="29">
        <v>29</v>
      </c>
      <c r="S1" s="29">
        <v>34</v>
      </c>
      <c r="T1" s="34">
        <v>41</v>
      </c>
      <c r="U1" s="29">
        <v>42</v>
      </c>
      <c r="V1" s="29">
        <v>50</v>
      </c>
      <c r="W1" s="29">
        <v>52</v>
      </c>
      <c r="X1" s="29">
        <v>55</v>
      </c>
      <c r="Y1" s="29">
        <v>56</v>
      </c>
      <c r="Z1" s="34">
        <v>64</v>
      </c>
      <c r="AA1" s="34">
        <v>70</v>
      </c>
      <c r="AB1" s="34">
        <v>71</v>
      </c>
      <c r="AC1" s="29">
        <v>72</v>
      </c>
      <c r="AD1" s="29">
        <v>75</v>
      </c>
      <c r="AE1" s="29">
        <v>76</v>
      </c>
      <c r="AF1" s="29">
        <v>77</v>
      </c>
      <c r="AG1" s="34">
        <v>79</v>
      </c>
      <c r="AH1" s="34">
        <v>84</v>
      </c>
      <c r="AI1" s="34">
        <v>86</v>
      </c>
      <c r="AJ1" s="29">
        <v>93</v>
      </c>
      <c r="AK1" s="29">
        <v>96</v>
      </c>
      <c r="AL1" s="4">
        <v>97</v>
      </c>
    </row>
    <row r="2" spans="1:38" ht="15">
      <c r="A2" s="1" t="s">
        <v>0</v>
      </c>
    </row>
    <row r="3" spans="1:38" ht="15">
      <c r="A3" s="16">
        <v>44197</v>
      </c>
      <c r="B3" s="8">
        <v>7515.07</v>
      </c>
      <c r="C3" s="8">
        <v>7777.65</v>
      </c>
      <c r="D3" s="8">
        <v>10752.67</v>
      </c>
      <c r="E3" s="8">
        <v>7905.14</v>
      </c>
      <c r="F3" s="8">
        <v>5796.52</v>
      </c>
      <c r="G3" s="8">
        <v>5979.3</v>
      </c>
      <c r="H3" s="8">
        <v>2462.02</v>
      </c>
      <c r="I3" s="8">
        <v>4937.34</v>
      </c>
      <c r="J3" s="8">
        <v>5407.78</v>
      </c>
      <c r="K3" s="8">
        <v>8186.91</v>
      </c>
      <c r="L3" s="8">
        <v>6674.89</v>
      </c>
      <c r="M3" s="8">
        <v>6319.4</v>
      </c>
      <c r="N3" s="8">
        <v>12985.36</v>
      </c>
      <c r="O3" s="8">
        <v>14809.74</v>
      </c>
      <c r="P3" s="8">
        <v>5447.3</v>
      </c>
      <c r="Q3" s="8">
        <v>3447.17</v>
      </c>
      <c r="R3" s="8">
        <v>4141.8100000000004</v>
      </c>
      <c r="S3" s="8">
        <v>7379.03</v>
      </c>
      <c r="T3" s="33">
        <v>0</v>
      </c>
      <c r="U3" s="8">
        <v>2404.2600000000002</v>
      </c>
      <c r="V3" s="8">
        <v>15534.21</v>
      </c>
      <c r="W3" s="8">
        <v>29449.62</v>
      </c>
      <c r="X3" s="8">
        <v>33400.29</v>
      </c>
      <c r="Y3" s="8">
        <v>34211.78</v>
      </c>
      <c r="Z3" s="10">
        <v>0</v>
      </c>
      <c r="AA3" s="10">
        <v>0</v>
      </c>
      <c r="AB3" s="10">
        <v>0</v>
      </c>
      <c r="AC3" s="8">
        <v>3375.16</v>
      </c>
      <c r="AD3" s="10"/>
      <c r="AE3" s="8">
        <v>5788.92</v>
      </c>
      <c r="AF3" s="8">
        <v>1506.51</v>
      </c>
      <c r="AG3" s="10"/>
      <c r="AH3" s="33">
        <v>0</v>
      </c>
      <c r="AI3" s="33">
        <v>0</v>
      </c>
      <c r="AJ3" s="10">
        <v>408.88</v>
      </c>
      <c r="AK3" s="6">
        <v>8932.85</v>
      </c>
    </row>
    <row r="4" spans="1:38" ht="15">
      <c r="A4" s="16">
        <v>44228</v>
      </c>
      <c r="B4" s="8">
        <v>7910.6</v>
      </c>
      <c r="C4" s="8">
        <v>8187</v>
      </c>
      <c r="D4" s="8">
        <v>11318.6</v>
      </c>
      <c r="E4" s="8">
        <v>8321.2000000000007</v>
      </c>
      <c r="F4" s="8">
        <v>6101.6</v>
      </c>
      <c r="G4" s="8">
        <v>6294</v>
      </c>
      <c r="H4" s="8">
        <v>2591.6</v>
      </c>
      <c r="I4" s="8">
        <v>5197.2</v>
      </c>
      <c r="J4" s="8">
        <v>5692.4</v>
      </c>
      <c r="K4" s="8">
        <v>8617.7999999999993</v>
      </c>
      <c r="L4" s="8">
        <v>7026.2</v>
      </c>
      <c r="M4" s="8">
        <v>6652</v>
      </c>
      <c r="N4" s="8">
        <v>13668.8</v>
      </c>
      <c r="O4" s="8">
        <v>15589.2</v>
      </c>
      <c r="P4" s="8">
        <v>5734</v>
      </c>
      <c r="Q4" s="8">
        <v>3628.6</v>
      </c>
      <c r="R4" s="8">
        <v>4359.8</v>
      </c>
      <c r="S4" s="8">
        <v>7767.4</v>
      </c>
      <c r="T4" s="33">
        <v>0</v>
      </c>
      <c r="U4" s="8">
        <v>2530.8000000000002</v>
      </c>
      <c r="V4" s="8">
        <v>16351.8</v>
      </c>
      <c r="W4" s="8">
        <v>30999.599999999999</v>
      </c>
      <c r="X4" s="8">
        <v>35158.199999999997</v>
      </c>
      <c r="Y4" s="8">
        <v>36012.400000000001</v>
      </c>
      <c r="Z4" s="10">
        <v>0</v>
      </c>
      <c r="AA4" s="10">
        <v>0</v>
      </c>
      <c r="AB4" s="10">
        <v>0</v>
      </c>
      <c r="AC4" s="8">
        <v>3552.8</v>
      </c>
      <c r="AD4" s="10"/>
      <c r="AE4" s="8">
        <v>6093.6</v>
      </c>
      <c r="AF4" s="8">
        <v>1585.8</v>
      </c>
      <c r="AG4" s="10"/>
      <c r="AH4" s="33">
        <v>0</v>
      </c>
      <c r="AI4" s="33">
        <v>0</v>
      </c>
      <c r="AJ4" s="10">
        <v>430.4</v>
      </c>
      <c r="AK4" s="6">
        <v>9403</v>
      </c>
    </row>
    <row r="5" spans="1:38" ht="15">
      <c r="A5" s="16">
        <v>44256</v>
      </c>
      <c r="B5" s="8">
        <v>9097.19</v>
      </c>
      <c r="C5" s="8">
        <v>8982.69</v>
      </c>
      <c r="D5" s="8">
        <v>13016.39</v>
      </c>
      <c r="E5" s="8">
        <v>9569.3799999999992</v>
      </c>
      <c r="F5" s="8">
        <v>7016.84</v>
      </c>
      <c r="G5" s="8">
        <v>7246.92</v>
      </c>
      <c r="H5" s="8">
        <v>2980.34</v>
      </c>
      <c r="I5" s="8">
        <v>5976.78</v>
      </c>
      <c r="J5" s="8">
        <v>6546.26</v>
      </c>
      <c r="K5" s="8">
        <v>9910.4699999999993</v>
      </c>
      <c r="L5" s="8">
        <v>7836.95</v>
      </c>
      <c r="M5" s="8">
        <v>7649.8</v>
      </c>
      <c r="N5" s="8">
        <v>15804.8</v>
      </c>
      <c r="O5" s="8">
        <v>17927.580000000002</v>
      </c>
      <c r="P5" s="8">
        <v>6594.1</v>
      </c>
      <c r="Q5" s="8">
        <v>4172.8900000000003</v>
      </c>
      <c r="R5" s="8">
        <v>5013.7700000000004</v>
      </c>
      <c r="S5" s="8">
        <v>8932.51</v>
      </c>
      <c r="T5" s="33">
        <v>0</v>
      </c>
      <c r="U5" s="8">
        <v>2910.42</v>
      </c>
      <c r="V5" s="8">
        <v>18906.27</v>
      </c>
      <c r="W5" s="8">
        <v>35649.54</v>
      </c>
      <c r="X5" s="8">
        <v>40670.07</v>
      </c>
      <c r="Y5" s="8">
        <v>41538.639999999999</v>
      </c>
      <c r="Z5" s="10">
        <v>0</v>
      </c>
      <c r="AA5" s="10">
        <v>0</v>
      </c>
      <c r="AB5" s="10">
        <v>0</v>
      </c>
      <c r="AC5" s="8">
        <v>4085.72</v>
      </c>
      <c r="AD5" s="10"/>
      <c r="AE5" s="8">
        <v>7007.64</v>
      </c>
      <c r="AF5" s="8">
        <v>1823.67</v>
      </c>
      <c r="AG5" s="10"/>
      <c r="AH5" s="33">
        <v>0</v>
      </c>
      <c r="AI5" s="33">
        <v>0</v>
      </c>
      <c r="AJ5" s="10">
        <v>494.96</v>
      </c>
      <c r="AK5" s="6">
        <v>10813.45</v>
      </c>
    </row>
    <row r="6" spans="1:38" ht="15">
      <c r="A6" s="16">
        <v>44287</v>
      </c>
      <c r="B6" s="8">
        <v>10267.36</v>
      </c>
      <c r="C6" s="8">
        <v>11270.88</v>
      </c>
      <c r="D6" s="8">
        <v>16112.86</v>
      </c>
      <c r="E6" s="8">
        <v>11470.07</v>
      </c>
      <c r="F6" s="8">
        <v>10068.459999999999</v>
      </c>
      <c r="G6" s="8">
        <v>6282.54</v>
      </c>
      <c r="H6" s="8">
        <v>2850.76</v>
      </c>
      <c r="I6" s="8">
        <v>6092.37</v>
      </c>
      <c r="J6" s="8">
        <v>6931.69</v>
      </c>
      <c r="K6" s="8">
        <v>9224.8799999999992</v>
      </c>
      <c r="L6" s="8">
        <v>8069.11</v>
      </c>
      <c r="M6" s="8">
        <v>5087.8999999999996</v>
      </c>
      <c r="N6" s="8">
        <v>15809.74</v>
      </c>
      <c r="O6" s="8">
        <v>24260.97</v>
      </c>
      <c r="P6" s="8">
        <v>4802.3</v>
      </c>
      <c r="Q6" s="8">
        <v>4151.51</v>
      </c>
      <c r="R6" s="8">
        <v>4894.78</v>
      </c>
      <c r="S6" s="8">
        <v>9037.64</v>
      </c>
      <c r="T6" s="8">
        <v>1583.85</v>
      </c>
      <c r="U6" s="8">
        <v>2902.08</v>
      </c>
      <c r="V6" s="8">
        <v>18416.73</v>
      </c>
      <c r="W6" s="8">
        <v>35052.959999999999</v>
      </c>
      <c r="X6" s="8">
        <v>48859.95</v>
      </c>
      <c r="Y6" s="8">
        <v>45794.3</v>
      </c>
      <c r="Z6" s="10">
        <v>0</v>
      </c>
      <c r="AA6" s="10">
        <v>0</v>
      </c>
      <c r="AB6" s="10">
        <v>0</v>
      </c>
      <c r="AC6" s="8">
        <v>1243.48</v>
      </c>
      <c r="AD6" s="10"/>
      <c r="AE6" s="8">
        <v>6702.96</v>
      </c>
      <c r="AF6" s="8">
        <v>3792.33</v>
      </c>
      <c r="AG6" s="10"/>
      <c r="AH6" s="8">
        <v>8678.4</v>
      </c>
      <c r="AI6" s="8">
        <v>1437.75</v>
      </c>
      <c r="AJ6" s="10">
        <v>473.44</v>
      </c>
      <c r="AK6" s="6">
        <v>3291.05</v>
      </c>
    </row>
    <row r="7" spans="1:38" ht="15">
      <c r="A7" s="16">
        <v>44317</v>
      </c>
      <c r="B7" s="8">
        <v>9998.23</v>
      </c>
      <c r="C7" s="8">
        <v>11387.44</v>
      </c>
      <c r="D7" s="8">
        <v>16201.8</v>
      </c>
      <c r="E7" s="8">
        <v>11410.2</v>
      </c>
      <c r="F7" s="8">
        <v>10557.32</v>
      </c>
      <c r="G7" s="8">
        <v>5435.6</v>
      </c>
      <c r="H7" s="8">
        <v>2591.6</v>
      </c>
      <c r="I7" s="8">
        <v>5697.8</v>
      </c>
      <c r="J7" s="8">
        <v>6585.8</v>
      </c>
      <c r="K7" s="8">
        <v>8278.2000000000007</v>
      </c>
      <c r="L7" s="8">
        <v>7584.82</v>
      </c>
      <c r="M7" s="8">
        <v>3679.6</v>
      </c>
      <c r="N7" s="8">
        <v>14643.76</v>
      </c>
      <c r="O7" s="8">
        <v>25073</v>
      </c>
      <c r="P7" s="8">
        <v>3727.2</v>
      </c>
      <c r="Q7" s="8">
        <v>3842</v>
      </c>
      <c r="R7" s="8">
        <v>4491.8</v>
      </c>
      <c r="S7" s="8">
        <v>8425.4</v>
      </c>
      <c r="T7" s="8">
        <v>2111.8000000000002</v>
      </c>
      <c r="U7" s="8">
        <v>2688.4</v>
      </c>
      <c r="V7" s="8">
        <v>16848.45</v>
      </c>
      <c r="W7" s="8">
        <v>32270.799999999999</v>
      </c>
      <c r="X7" s="8">
        <v>48600.63</v>
      </c>
      <c r="Y7" s="8">
        <v>44172.23</v>
      </c>
      <c r="Z7" s="10">
        <v>0</v>
      </c>
      <c r="AA7" s="10">
        <v>0</v>
      </c>
      <c r="AB7" s="10">
        <v>0</v>
      </c>
      <c r="AC7" s="10">
        <v>0</v>
      </c>
      <c r="AD7" s="10"/>
      <c r="AE7" s="8">
        <v>6093.6</v>
      </c>
      <c r="AF7" s="8">
        <v>4316.3999999999996</v>
      </c>
      <c r="AG7" s="10"/>
      <c r="AH7" s="8">
        <v>11571.2</v>
      </c>
      <c r="AI7" s="8">
        <v>1917</v>
      </c>
      <c r="AJ7" s="10">
        <v>430.4</v>
      </c>
      <c r="AK7" s="7">
        <v>0</v>
      </c>
    </row>
    <row r="8" spans="1:38" ht="15">
      <c r="A8" s="16">
        <v>44348</v>
      </c>
      <c r="B8" s="8">
        <v>10994.5</v>
      </c>
      <c r="C8" s="8">
        <v>12467.62</v>
      </c>
      <c r="D8" s="8">
        <v>17821.98</v>
      </c>
      <c r="E8" s="8">
        <v>12551.22</v>
      </c>
      <c r="F8" s="8">
        <v>11525.58</v>
      </c>
      <c r="G8" s="8">
        <v>5968.6</v>
      </c>
      <c r="H8" s="8">
        <v>2850.76</v>
      </c>
      <c r="I8" s="8">
        <v>6267.58</v>
      </c>
      <c r="J8" s="8">
        <v>7244.38</v>
      </c>
      <c r="K8" s="8">
        <v>9106.02</v>
      </c>
      <c r="L8" s="8">
        <v>8323.48</v>
      </c>
      <c r="M8" s="8">
        <v>4047.56</v>
      </c>
      <c r="N8" s="8">
        <v>16024.36</v>
      </c>
      <c r="O8" s="8">
        <v>27580.3</v>
      </c>
      <c r="P8" s="8">
        <v>4099.92</v>
      </c>
      <c r="Q8" s="8">
        <v>4226.2</v>
      </c>
      <c r="R8" s="8">
        <v>4940.9799999999996</v>
      </c>
      <c r="S8" s="8">
        <v>9267.94</v>
      </c>
      <c r="T8" s="8">
        <v>2322.98</v>
      </c>
      <c r="U8" s="8">
        <v>2957.24</v>
      </c>
      <c r="V8" s="8">
        <v>18377.919999999998</v>
      </c>
      <c r="W8" s="8">
        <v>35497.879999999997</v>
      </c>
      <c r="X8" s="8">
        <v>53292.36</v>
      </c>
      <c r="Y8" s="8">
        <v>48466</v>
      </c>
      <c r="Z8" s="10">
        <v>0</v>
      </c>
      <c r="AA8" s="10">
        <v>0</v>
      </c>
      <c r="AB8" s="10">
        <v>0</v>
      </c>
      <c r="AC8" s="10">
        <v>0</v>
      </c>
      <c r="AD8" s="10"/>
      <c r="AE8" s="8">
        <v>6702.96</v>
      </c>
      <c r="AF8" s="8">
        <v>4748.04</v>
      </c>
      <c r="AG8" s="10"/>
      <c r="AH8" s="8">
        <v>12728.32</v>
      </c>
      <c r="AI8" s="8">
        <v>2108.6999999999998</v>
      </c>
      <c r="AJ8" s="10">
        <v>473.44</v>
      </c>
      <c r="AK8" s="7">
        <v>0</v>
      </c>
    </row>
    <row r="9" spans="1:38" ht="15">
      <c r="A9" s="16">
        <v>44378</v>
      </c>
      <c r="B9" s="8">
        <v>10494.75</v>
      </c>
      <c r="C9" s="8">
        <v>11900.91</v>
      </c>
      <c r="D9" s="8">
        <v>17011.89</v>
      </c>
      <c r="E9" s="8">
        <v>11980.71</v>
      </c>
      <c r="F9" s="8">
        <v>11001.69</v>
      </c>
      <c r="G9" s="8">
        <v>5697.3</v>
      </c>
      <c r="H9" s="8">
        <v>2721.18</v>
      </c>
      <c r="I9" s="8">
        <v>5982.69</v>
      </c>
      <c r="J9" s="8">
        <v>6915.09</v>
      </c>
      <c r="K9" s="8">
        <v>8692.11</v>
      </c>
      <c r="L9" s="8">
        <v>7945.14</v>
      </c>
      <c r="M9" s="8">
        <v>3863.58</v>
      </c>
      <c r="N9" s="8">
        <v>15295.98</v>
      </c>
      <c r="O9" s="8">
        <v>26326.65</v>
      </c>
      <c r="P9" s="8">
        <v>3913.56</v>
      </c>
      <c r="Q9" s="8">
        <v>4034.1</v>
      </c>
      <c r="R9" s="8">
        <v>4716.3900000000003</v>
      </c>
      <c r="S9" s="8">
        <v>8846.67</v>
      </c>
      <c r="T9" s="8">
        <v>2217.39</v>
      </c>
      <c r="U9" s="8">
        <v>2822.82</v>
      </c>
      <c r="V9" s="8">
        <v>17542.560000000001</v>
      </c>
      <c r="W9" s="8">
        <v>33884.339999999997</v>
      </c>
      <c r="X9" s="8">
        <v>50869.98</v>
      </c>
      <c r="Y9" s="8">
        <v>46263</v>
      </c>
      <c r="Z9" s="10">
        <v>0</v>
      </c>
      <c r="AA9" s="10">
        <v>0</v>
      </c>
      <c r="AB9" s="10">
        <v>0</v>
      </c>
      <c r="AC9" s="10">
        <v>0</v>
      </c>
      <c r="AD9" s="10"/>
      <c r="AE9" s="8">
        <v>6398.28</v>
      </c>
      <c r="AF9" s="8">
        <v>4532.22</v>
      </c>
      <c r="AG9" s="10"/>
      <c r="AH9" s="8">
        <v>12149.76</v>
      </c>
      <c r="AI9" s="8">
        <v>2012.85</v>
      </c>
      <c r="AJ9" s="10">
        <v>451.92</v>
      </c>
      <c r="AK9" s="7">
        <v>0</v>
      </c>
    </row>
    <row r="10" spans="1:38" ht="15">
      <c r="A10" s="16">
        <v>44409</v>
      </c>
      <c r="B10" s="8">
        <v>10997.06</v>
      </c>
      <c r="C10" s="8">
        <v>12519.78</v>
      </c>
      <c r="D10" s="8">
        <v>17821.98</v>
      </c>
      <c r="E10" s="8">
        <v>12551.22</v>
      </c>
      <c r="F10" s="8">
        <v>11605.1</v>
      </c>
      <c r="G10" s="8">
        <v>5976.28</v>
      </c>
      <c r="H10" s="8">
        <v>2850.76</v>
      </c>
      <c r="I10" s="8">
        <v>6267.58</v>
      </c>
      <c r="J10" s="8">
        <v>7244.38</v>
      </c>
      <c r="K10" s="8">
        <v>9106.02</v>
      </c>
      <c r="L10" s="8">
        <v>8340.44</v>
      </c>
      <c r="M10" s="8">
        <v>4047.56</v>
      </c>
      <c r="N10" s="8">
        <v>16100.52</v>
      </c>
      <c r="O10" s="8">
        <v>27580.3</v>
      </c>
      <c r="P10" s="8">
        <v>4099.92</v>
      </c>
      <c r="Q10" s="8">
        <v>4226.2</v>
      </c>
      <c r="R10" s="8">
        <v>4940.9799999999996</v>
      </c>
      <c r="S10" s="8">
        <v>9267.94</v>
      </c>
      <c r="T10" s="8">
        <v>2322.98</v>
      </c>
      <c r="U10" s="8">
        <v>2957.24</v>
      </c>
      <c r="V10" s="8">
        <v>18515.84</v>
      </c>
      <c r="W10" s="8">
        <v>35497.879999999997</v>
      </c>
      <c r="X10" s="8">
        <v>53441.16</v>
      </c>
      <c r="Y10" s="8">
        <v>48576.4</v>
      </c>
      <c r="Z10" s="10">
        <v>0</v>
      </c>
      <c r="AA10" s="10">
        <v>0</v>
      </c>
      <c r="AB10" s="10">
        <v>0</v>
      </c>
      <c r="AC10" s="10">
        <v>0</v>
      </c>
      <c r="AD10" s="10"/>
      <c r="AE10" s="8">
        <v>6702.96</v>
      </c>
      <c r="AF10" s="8">
        <v>4748.04</v>
      </c>
      <c r="AG10" s="10"/>
      <c r="AH10" s="8">
        <v>12728.32</v>
      </c>
      <c r="AI10" s="8">
        <v>2108.6999999999998</v>
      </c>
      <c r="AJ10" s="10">
        <v>473.44</v>
      </c>
      <c r="AK10" s="7">
        <v>0</v>
      </c>
    </row>
    <row r="11" spans="1:38" ht="15">
      <c r="A11" s="16">
        <v>44440</v>
      </c>
      <c r="B11" s="8">
        <v>10498.11</v>
      </c>
      <c r="C11" s="8">
        <v>11969.37</v>
      </c>
      <c r="D11" s="8">
        <v>17011.89</v>
      </c>
      <c r="E11" s="8">
        <v>11980.71</v>
      </c>
      <c r="F11" s="8">
        <v>11106.06</v>
      </c>
      <c r="G11" s="8">
        <v>5707.38</v>
      </c>
      <c r="H11" s="8">
        <v>2721.18</v>
      </c>
      <c r="I11" s="8">
        <v>5982.69</v>
      </c>
      <c r="J11" s="8">
        <v>6915.09</v>
      </c>
      <c r="K11" s="8">
        <v>8692.11</v>
      </c>
      <c r="L11" s="8">
        <v>7967.4</v>
      </c>
      <c r="M11" s="8">
        <v>3863.58</v>
      </c>
      <c r="N11" s="8">
        <v>15395.94</v>
      </c>
      <c r="O11" s="8">
        <v>26326.65</v>
      </c>
      <c r="P11" s="8">
        <v>3913.56</v>
      </c>
      <c r="Q11" s="8">
        <v>4034.1</v>
      </c>
      <c r="R11" s="8">
        <v>4716.3900000000003</v>
      </c>
      <c r="S11" s="8">
        <v>8846.67</v>
      </c>
      <c r="T11" s="8">
        <v>2217.39</v>
      </c>
      <c r="U11" s="8">
        <v>2822.82</v>
      </c>
      <c r="V11" s="8">
        <v>17723.580000000002</v>
      </c>
      <c r="W11" s="8">
        <v>33884.339999999997</v>
      </c>
      <c r="X11" s="8">
        <v>51065.279999999999</v>
      </c>
      <c r="Y11" s="8">
        <v>46407.9</v>
      </c>
      <c r="Z11" s="10">
        <v>0</v>
      </c>
      <c r="AA11" s="10">
        <v>0</v>
      </c>
      <c r="AB11" s="10">
        <v>0</v>
      </c>
      <c r="AC11" s="10">
        <v>0</v>
      </c>
      <c r="AD11" s="10"/>
      <c r="AE11" s="8">
        <v>6398.28</v>
      </c>
      <c r="AF11" s="8">
        <v>4532.22</v>
      </c>
      <c r="AG11" s="10"/>
      <c r="AH11" s="8">
        <v>12149.76</v>
      </c>
      <c r="AI11" s="8">
        <v>2012.85</v>
      </c>
      <c r="AJ11" s="10">
        <v>451.92</v>
      </c>
      <c r="AK11" s="7">
        <v>0</v>
      </c>
    </row>
    <row r="12" spans="1:38" ht="15">
      <c r="A12" s="16">
        <v>44470</v>
      </c>
      <c r="B12" s="8">
        <v>11857.15</v>
      </c>
      <c r="C12" s="8">
        <v>12278.75</v>
      </c>
      <c r="D12" s="8">
        <v>20233.89</v>
      </c>
      <c r="E12" s="8">
        <v>13279.51</v>
      </c>
      <c r="F12" s="8">
        <v>12178.64</v>
      </c>
      <c r="G12" s="8">
        <v>6572.64</v>
      </c>
      <c r="H12" s="8">
        <v>4784.78</v>
      </c>
      <c r="I12" s="8">
        <v>5982.69</v>
      </c>
      <c r="J12" s="8">
        <v>6915.09</v>
      </c>
      <c r="K12" s="8">
        <v>8894.11</v>
      </c>
      <c r="L12" s="8">
        <v>7961.04</v>
      </c>
      <c r="M12" s="8">
        <v>3863.58</v>
      </c>
      <c r="N12" s="8">
        <v>15804.98</v>
      </c>
      <c r="O12" s="8">
        <v>28564.05</v>
      </c>
      <c r="P12" s="8">
        <v>3913.56</v>
      </c>
      <c r="Q12" s="8">
        <v>4034.1</v>
      </c>
      <c r="R12" s="8">
        <v>4716.3900000000003</v>
      </c>
      <c r="S12" s="8">
        <v>8846.67</v>
      </c>
      <c r="T12" s="8">
        <v>2217.39</v>
      </c>
      <c r="U12" s="8">
        <v>3184.42</v>
      </c>
      <c r="V12" s="8">
        <v>22909.74</v>
      </c>
      <c r="W12" s="8">
        <v>35891.54</v>
      </c>
      <c r="X12" s="8">
        <v>53350.080000000002</v>
      </c>
      <c r="Y12" s="8">
        <v>46816.88</v>
      </c>
      <c r="Z12" s="10">
        <v>196.2</v>
      </c>
      <c r="AA12" s="10">
        <v>0</v>
      </c>
      <c r="AB12" s="10">
        <v>0</v>
      </c>
      <c r="AC12" s="10">
        <v>0</v>
      </c>
      <c r="AD12" s="10"/>
      <c r="AE12" s="8">
        <v>6443.08</v>
      </c>
      <c r="AF12" s="8">
        <v>4532.22</v>
      </c>
      <c r="AG12" s="10"/>
      <c r="AH12" s="8">
        <v>16488.96</v>
      </c>
      <c r="AI12" s="8">
        <v>3457.25</v>
      </c>
      <c r="AJ12" s="10">
        <v>632.72</v>
      </c>
      <c r="AK12" s="7">
        <v>0</v>
      </c>
    </row>
    <row r="13" spans="1:38" ht="15">
      <c r="A13" s="16">
        <v>44501</v>
      </c>
      <c r="B13" s="8">
        <v>11925.63</v>
      </c>
      <c r="C13" s="8">
        <v>12305.01</v>
      </c>
      <c r="D13" s="8">
        <v>20394.990000000002</v>
      </c>
      <c r="E13" s="8">
        <v>13344.45</v>
      </c>
      <c r="F13" s="8">
        <v>12248.67</v>
      </c>
      <c r="G13" s="8">
        <v>6617.52</v>
      </c>
      <c r="H13" s="8">
        <v>4887.96</v>
      </c>
      <c r="I13" s="8">
        <v>5982.69</v>
      </c>
      <c r="J13" s="8">
        <v>6915.09</v>
      </c>
      <c r="K13" s="8">
        <v>8904.2099999999991</v>
      </c>
      <c r="L13" s="8">
        <v>7964.22</v>
      </c>
      <c r="M13" s="8">
        <v>3863.58</v>
      </c>
      <c r="N13" s="8">
        <v>15841.14</v>
      </c>
      <c r="O13" s="8">
        <v>28739.94</v>
      </c>
      <c r="P13" s="8">
        <v>3913.56</v>
      </c>
      <c r="Q13" s="8">
        <v>4034.1</v>
      </c>
      <c r="R13" s="8">
        <v>4716.3900000000003</v>
      </c>
      <c r="S13" s="8">
        <v>8846.67</v>
      </c>
      <c r="T13" s="8">
        <v>2217.39</v>
      </c>
      <c r="U13" s="8">
        <v>3202.5</v>
      </c>
      <c r="V13" s="8">
        <v>23197.23</v>
      </c>
      <c r="W13" s="8">
        <v>35991.9</v>
      </c>
      <c r="X13" s="8">
        <v>53518.11</v>
      </c>
      <c r="Y13" s="8">
        <v>46853.4</v>
      </c>
      <c r="Z13" s="10">
        <v>206.01</v>
      </c>
      <c r="AA13" s="10">
        <v>0</v>
      </c>
      <c r="AB13" s="10">
        <v>0</v>
      </c>
      <c r="AC13" s="10">
        <v>0</v>
      </c>
      <c r="AD13" s="10"/>
      <c r="AE13" s="8">
        <v>6445.32</v>
      </c>
      <c r="AF13" s="8">
        <v>4532.22</v>
      </c>
      <c r="AG13" s="10"/>
      <c r="AH13" s="8">
        <v>16705.919999999998</v>
      </c>
      <c r="AI13" s="8">
        <v>3529.47</v>
      </c>
      <c r="AJ13" s="10">
        <v>641.76</v>
      </c>
      <c r="AK13" s="7">
        <v>0</v>
      </c>
    </row>
    <row r="14" spans="1:38" ht="15">
      <c r="A14" s="16">
        <v>44531</v>
      </c>
      <c r="B14" s="8">
        <v>11924.83</v>
      </c>
      <c r="C14" s="8">
        <v>12285.39</v>
      </c>
      <c r="D14" s="8">
        <v>20394.990000000002</v>
      </c>
      <c r="E14" s="8">
        <v>13344.45</v>
      </c>
      <c r="F14" s="8">
        <v>12218.85</v>
      </c>
      <c r="G14" s="8">
        <v>6615.06</v>
      </c>
      <c r="H14" s="8">
        <v>4887.96</v>
      </c>
      <c r="I14" s="8">
        <v>5982.69</v>
      </c>
      <c r="J14" s="8">
        <v>6915.09</v>
      </c>
      <c r="K14" s="8">
        <v>8904.2099999999991</v>
      </c>
      <c r="L14" s="8">
        <v>7957.86</v>
      </c>
      <c r="M14" s="8">
        <v>3863.58</v>
      </c>
      <c r="N14" s="8">
        <v>15813.4</v>
      </c>
      <c r="O14" s="8">
        <v>28623.54</v>
      </c>
      <c r="P14" s="8">
        <v>3913.56</v>
      </c>
      <c r="Q14" s="8">
        <v>4034.1</v>
      </c>
      <c r="R14" s="8">
        <v>4716.3900000000003</v>
      </c>
      <c r="S14" s="8">
        <v>8846.67</v>
      </c>
      <c r="T14" s="8">
        <v>2217.39</v>
      </c>
      <c r="U14" s="8">
        <v>3202.5</v>
      </c>
      <c r="V14" s="8">
        <v>23151.37</v>
      </c>
      <c r="W14" s="8">
        <v>35991.9</v>
      </c>
      <c r="X14" s="8">
        <v>53426.3</v>
      </c>
      <c r="Y14" s="8">
        <v>46827.22</v>
      </c>
      <c r="Z14" s="10">
        <v>206.01</v>
      </c>
      <c r="AA14" s="10">
        <v>0</v>
      </c>
      <c r="AB14" s="10">
        <v>0</v>
      </c>
      <c r="AC14" s="10">
        <v>0</v>
      </c>
      <c r="AD14" s="10"/>
      <c r="AE14" s="8">
        <v>6445.32</v>
      </c>
      <c r="AF14" s="8">
        <v>4532.22</v>
      </c>
      <c r="AG14" s="10"/>
      <c r="AH14" s="8">
        <v>16705.919999999998</v>
      </c>
      <c r="AI14" s="8">
        <v>3529.47</v>
      </c>
      <c r="AJ14" s="10">
        <v>641.76</v>
      </c>
      <c r="AK14" s="7">
        <v>0</v>
      </c>
    </row>
    <row r="15" spans="1:38" ht="15">
      <c r="A15" s="16">
        <v>44562</v>
      </c>
      <c r="B15" s="8">
        <v>11357.4</v>
      </c>
      <c r="C15" s="8">
        <v>11708.78</v>
      </c>
      <c r="D15" s="8">
        <v>19423.8</v>
      </c>
      <c r="E15" s="8">
        <v>12709</v>
      </c>
      <c r="F15" s="8">
        <v>11649.78</v>
      </c>
      <c r="G15" s="8">
        <v>6301.34</v>
      </c>
      <c r="H15" s="8">
        <v>4655.2</v>
      </c>
      <c r="I15" s="8">
        <v>5697.8</v>
      </c>
      <c r="J15" s="8">
        <v>6585.8</v>
      </c>
      <c r="K15" s="8">
        <v>8480.2000000000007</v>
      </c>
      <c r="L15" s="8">
        <v>7581.64</v>
      </c>
      <c r="M15" s="8">
        <v>3679.6</v>
      </c>
      <c r="N15" s="8">
        <v>15072.66</v>
      </c>
      <c r="O15" s="8">
        <v>27310.400000000001</v>
      </c>
      <c r="P15" s="8">
        <v>3727.2</v>
      </c>
      <c r="Q15" s="8">
        <v>3842</v>
      </c>
      <c r="R15" s="8">
        <v>4491.8</v>
      </c>
      <c r="S15" s="8">
        <v>8425.4</v>
      </c>
      <c r="T15" s="8">
        <v>2111.8000000000002</v>
      </c>
      <c r="U15" s="8">
        <v>3050</v>
      </c>
      <c r="V15" s="8">
        <v>22071.14</v>
      </c>
      <c r="W15" s="8">
        <v>34278</v>
      </c>
      <c r="X15" s="8">
        <v>50924.39</v>
      </c>
      <c r="Y15" s="8">
        <v>44610.02</v>
      </c>
      <c r="Z15" s="10">
        <v>196.2</v>
      </c>
      <c r="AA15" s="10">
        <v>0</v>
      </c>
      <c r="AB15" s="10">
        <v>0</v>
      </c>
      <c r="AC15" s="10">
        <v>0</v>
      </c>
      <c r="AD15" s="10"/>
      <c r="AE15" s="8">
        <v>6138.4</v>
      </c>
      <c r="AF15" s="8">
        <v>4316.3999999999996</v>
      </c>
      <c r="AG15" s="10"/>
      <c r="AH15" s="8">
        <v>15910.4</v>
      </c>
      <c r="AI15" s="8">
        <v>3361.4</v>
      </c>
      <c r="AJ15" s="10">
        <v>611.20000000000005</v>
      </c>
      <c r="AK15" s="7">
        <v>0</v>
      </c>
    </row>
    <row r="16" spans="1:38" ht="15">
      <c r="A16" s="16">
        <v>44593</v>
      </c>
      <c r="B16" s="8">
        <v>11358.04</v>
      </c>
      <c r="C16" s="8">
        <v>11725.13</v>
      </c>
      <c r="D16" s="8">
        <v>19423.8</v>
      </c>
      <c r="E16" s="8">
        <v>12709</v>
      </c>
      <c r="F16" s="8">
        <v>11674.63</v>
      </c>
      <c r="G16" s="8">
        <v>6303.31</v>
      </c>
      <c r="H16" s="8">
        <v>4655.2</v>
      </c>
      <c r="I16" s="8">
        <v>5697.8</v>
      </c>
      <c r="J16" s="8">
        <v>6585.8</v>
      </c>
      <c r="K16" s="8">
        <v>8480.2000000000007</v>
      </c>
      <c r="L16" s="8">
        <v>7586.94</v>
      </c>
      <c r="M16" s="8">
        <v>3679.6</v>
      </c>
      <c r="N16" s="8">
        <v>15095.64</v>
      </c>
      <c r="O16" s="8">
        <v>27407.4</v>
      </c>
      <c r="P16" s="8">
        <v>3727.2</v>
      </c>
      <c r="Q16" s="8">
        <v>3842</v>
      </c>
      <c r="R16" s="8">
        <v>4491.8</v>
      </c>
      <c r="S16" s="8">
        <v>8425.4</v>
      </c>
      <c r="T16" s="8">
        <v>2111.8000000000002</v>
      </c>
      <c r="U16" s="8">
        <v>3050</v>
      </c>
      <c r="V16" s="8">
        <v>22108.46</v>
      </c>
      <c r="W16" s="8">
        <v>34278</v>
      </c>
      <c r="X16" s="8">
        <v>50999.9</v>
      </c>
      <c r="Y16" s="8">
        <v>44631.33</v>
      </c>
      <c r="Z16" s="10">
        <v>196.2</v>
      </c>
      <c r="AA16" s="10">
        <v>0</v>
      </c>
      <c r="AB16" s="10">
        <v>0</v>
      </c>
      <c r="AC16" s="10">
        <v>0</v>
      </c>
      <c r="AD16" s="10"/>
      <c r="AE16" s="8">
        <v>6138.4</v>
      </c>
      <c r="AF16" s="8">
        <v>4316.3999999999996</v>
      </c>
      <c r="AG16" s="10"/>
      <c r="AH16" s="8">
        <v>15910.4</v>
      </c>
      <c r="AI16" s="8">
        <v>3361.4</v>
      </c>
      <c r="AJ16" s="10">
        <v>611.20000000000005</v>
      </c>
      <c r="AK16" s="7">
        <v>0</v>
      </c>
    </row>
    <row r="17" spans="1:37" ht="15">
      <c r="A17" s="16">
        <v>44621</v>
      </c>
      <c r="B17" s="8">
        <v>13061.13</v>
      </c>
      <c r="C17" s="8">
        <v>13469.12</v>
      </c>
      <c r="D17" s="8">
        <v>22337.37</v>
      </c>
      <c r="E17" s="8">
        <v>14615.35</v>
      </c>
      <c r="F17" s="8">
        <v>12967.71</v>
      </c>
      <c r="G17" s="8">
        <v>7009.38</v>
      </c>
      <c r="H17" s="8">
        <v>5353.48</v>
      </c>
      <c r="I17" s="8">
        <v>6552.47</v>
      </c>
      <c r="J17" s="8">
        <v>7336.31</v>
      </c>
      <c r="K17" s="8">
        <v>9752.23</v>
      </c>
      <c r="L17" s="8">
        <v>8720.9</v>
      </c>
      <c r="M17" s="8">
        <v>4231.54</v>
      </c>
      <c r="N17" s="8">
        <v>17337.73</v>
      </c>
      <c r="O17" s="8">
        <v>31433.63</v>
      </c>
      <c r="P17" s="8">
        <v>4286.28</v>
      </c>
      <c r="Q17" s="8">
        <v>4418.3</v>
      </c>
      <c r="R17" s="8">
        <v>5165.57</v>
      </c>
      <c r="S17" s="8">
        <v>9689.2099999999991</v>
      </c>
      <c r="T17" s="8">
        <v>2428.5700000000002</v>
      </c>
      <c r="U17" s="8">
        <v>3507.5</v>
      </c>
      <c r="V17" s="8">
        <v>25391.85</v>
      </c>
      <c r="W17" s="8">
        <v>39419.699999999997</v>
      </c>
      <c r="X17" s="8">
        <v>58581.05</v>
      </c>
      <c r="Y17" s="8">
        <v>51307.29</v>
      </c>
      <c r="Z17" s="10">
        <v>225.63</v>
      </c>
      <c r="AA17" s="10">
        <v>0</v>
      </c>
      <c r="AB17" s="10">
        <v>0</v>
      </c>
      <c r="AC17" s="10">
        <v>0</v>
      </c>
      <c r="AD17" s="10"/>
      <c r="AE17" s="8">
        <v>7059.16</v>
      </c>
      <c r="AF17" s="8">
        <v>4963.8599999999997</v>
      </c>
      <c r="AG17" s="10"/>
      <c r="AH17" s="8">
        <v>18296.96</v>
      </c>
      <c r="AI17" s="8">
        <v>3865.61</v>
      </c>
      <c r="AJ17" s="10">
        <v>702.88</v>
      </c>
      <c r="AK17" s="7">
        <v>0</v>
      </c>
    </row>
    <row r="18" spans="1:37" ht="15">
      <c r="A18" s="16">
        <v>44652</v>
      </c>
      <c r="B18" s="8">
        <v>32847.949999999997</v>
      </c>
      <c r="C18" s="8">
        <v>12176.41</v>
      </c>
      <c r="D18" s="10">
        <v>971.19</v>
      </c>
      <c r="E18" s="8">
        <v>17331.25</v>
      </c>
      <c r="F18" s="8">
        <v>12517.22</v>
      </c>
      <c r="G18" s="8">
        <v>6614.17</v>
      </c>
      <c r="H18" s="8">
        <v>4897.5600000000004</v>
      </c>
      <c r="I18" s="8">
        <v>7830.69</v>
      </c>
      <c r="J18" s="8">
        <v>10050.17</v>
      </c>
      <c r="K18" s="8">
        <v>8904.2099999999991</v>
      </c>
      <c r="L18" s="8">
        <v>11053.14</v>
      </c>
      <c r="M18" s="10">
        <v>183.98</v>
      </c>
      <c r="N18" s="8">
        <v>16143.61</v>
      </c>
      <c r="O18" s="8">
        <v>28809.54</v>
      </c>
      <c r="P18" s="48">
        <v>186.36</v>
      </c>
      <c r="Q18" s="8">
        <v>5183.5</v>
      </c>
      <c r="R18" s="8">
        <v>5773.39</v>
      </c>
      <c r="S18" s="8">
        <v>8846.67</v>
      </c>
      <c r="T18" s="8">
        <v>2217.39</v>
      </c>
      <c r="U18" s="8">
        <v>4106.3</v>
      </c>
      <c r="V18" s="8">
        <v>23561</v>
      </c>
      <c r="W18" s="8">
        <v>36527.9</v>
      </c>
      <c r="X18" s="8">
        <v>54098.94</v>
      </c>
      <c r="Y18" s="8">
        <v>47343.09</v>
      </c>
      <c r="Z18" s="10">
        <v>206.01</v>
      </c>
      <c r="AA18" s="10">
        <v>0</v>
      </c>
      <c r="AB18" s="10">
        <v>0</v>
      </c>
      <c r="AC18" s="10">
        <v>0</v>
      </c>
      <c r="AD18" s="8">
        <v>3727.2</v>
      </c>
      <c r="AE18" s="8">
        <v>6066.32</v>
      </c>
      <c r="AF18" s="8">
        <v>9770.82</v>
      </c>
      <c r="AG18" s="8">
        <v>9417.67</v>
      </c>
      <c r="AH18" s="8">
        <v>16716.72</v>
      </c>
      <c r="AI18" s="8">
        <v>3540.87</v>
      </c>
      <c r="AJ18" s="10">
        <v>641.76</v>
      </c>
      <c r="AK18" s="7">
        <v>0</v>
      </c>
    </row>
    <row r="19" spans="1:37" ht="15">
      <c r="A19" s="16">
        <v>44682</v>
      </c>
      <c r="B19" s="8">
        <v>33894.57</v>
      </c>
      <c r="C19" s="8">
        <v>12166.63</v>
      </c>
      <c r="D19" s="10">
        <v>0</v>
      </c>
      <c r="E19" s="8">
        <v>17530.59</v>
      </c>
      <c r="F19" s="8">
        <v>12544.69</v>
      </c>
      <c r="G19" s="8">
        <v>6626.27</v>
      </c>
      <c r="H19" s="8">
        <v>4898.04</v>
      </c>
      <c r="I19" s="8">
        <v>7923.09</v>
      </c>
      <c r="J19" s="8">
        <v>10217.76</v>
      </c>
      <c r="K19" s="8">
        <v>8904.2099999999991</v>
      </c>
      <c r="L19" s="8">
        <v>11206.42</v>
      </c>
      <c r="M19" s="10">
        <v>0</v>
      </c>
      <c r="N19" s="8">
        <v>16156.73</v>
      </c>
      <c r="O19" s="8">
        <v>28810.11</v>
      </c>
      <c r="P19" s="10">
        <v>0</v>
      </c>
      <c r="Q19" s="8">
        <v>5240.97</v>
      </c>
      <c r="R19" s="8">
        <v>5826.24</v>
      </c>
      <c r="S19" s="8">
        <v>8846.67</v>
      </c>
      <c r="T19" s="8">
        <v>2217.39</v>
      </c>
      <c r="U19" s="8">
        <v>4151.49</v>
      </c>
      <c r="V19" s="8">
        <v>23591.56</v>
      </c>
      <c r="W19" s="8">
        <v>36554.699999999997</v>
      </c>
      <c r="X19" s="8">
        <v>54133.81</v>
      </c>
      <c r="Y19" s="8">
        <v>47374.09</v>
      </c>
      <c r="Z19" s="10">
        <v>206.01</v>
      </c>
      <c r="AA19" s="10">
        <v>0</v>
      </c>
      <c r="AB19" s="10">
        <v>0</v>
      </c>
      <c r="AC19" s="10">
        <v>0</v>
      </c>
      <c r="AD19" s="8">
        <v>3913.56</v>
      </c>
      <c r="AE19" s="8">
        <v>6047.37</v>
      </c>
      <c r="AF19" s="8">
        <v>10032.75</v>
      </c>
      <c r="AG19" s="8">
        <v>9886.7199999999993</v>
      </c>
      <c r="AH19" s="8">
        <v>16717.259999999998</v>
      </c>
      <c r="AI19" s="8">
        <v>3541.44</v>
      </c>
      <c r="AJ19" s="10">
        <v>641.76</v>
      </c>
      <c r="AK19" s="7">
        <v>0</v>
      </c>
    </row>
    <row r="20" spans="1:37" ht="15">
      <c r="A20" s="16">
        <v>44713</v>
      </c>
      <c r="B20" s="8">
        <v>35504.699999999997</v>
      </c>
      <c r="C20" s="8">
        <v>12686.08</v>
      </c>
      <c r="D20" s="10">
        <v>0</v>
      </c>
      <c r="E20" s="8">
        <v>18365.38</v>
      </c>
      <c r="F20" s="8">
        <v>13036.76</v>
      </c>
      <c r="G20" s="8">
        <v>6930</v>
      </c>
      <c r="H20" s="8">
        <v>5131.28</v>
      </c>
      <c r="I20" s="8">
        <v>8300.3799999999992</v>
      </c>
      <c r="J20" s="8">
        <v>10704.32</v>
      </c>
      <c r="K20" s="8">
        <v>9328.2199999999993</v>
      </c>
      <c r="L20" s="8">
        <v>11718.96</v>
      </c>
      <c r="M20" s="10">
        <v>0</v>
      </c>
      <c r="N20" s="8">
        <v>16826.919999999998</v>
      </c>
      <c r="O20" s="8">
        <v>30182.02</v>
      </c>
      <c r="P20" s="10">
        <v>0</v>
      </c>
      <c r="Q20" s="8">
        <v>5490.54</v>
      </c>
      <c r="R20" s="8">
        <v>6103.68</v>
      </c>
      <c r="S20" s="8">
        <v>9267.94</v>
      </c>
      <c r="T20" s="8">
        <v>2322.98</v>
      </c>
      <c r="U20" s="8">
        <v>4349.18</v>
      </c>
      <c r="V20" s="8">
        <v>24524.06</v>
      </c>
      <c r="W20" s="8">
        <v>38295.4</v>
      </c>
      <c r="X20" s="8">
        <v>56358.720000000001</v>
      </c>
      <c r="Y20" s="8">
        <v>49519.58</v>
      </c>
      <c r="Z20" s="10">
        <v>215.82</v>
      </c>
      <c r="AA20" s="10">
        <v>0</v>
      </c>
      <c r="AB20" s="10">
        <v>0</v>
      </c>
      <c r="AC20" s="10">
        <v>0</v>
      </c>
      <c r="AD20" s="8">
        <v>4099.92</v>
      </c>
      <c r="AE20" s="8">
        <v>6335.34</v>
      </c>
      <c r="AF20" s="8">
        <v>10510.5</v>
      </c>
      <c r="AG20" s="8">
        <v>10319.1</v>
      </c>
      <c r="AH20" s="8">
        <v>17513.32</v>
      </c>
      <c r="AI20" s="8">
        <v>3710.08</v>
      </c>
      <c r="AJ20" s="10">
        <v>672.32</v>
      </c>
      <c r="AK20" s="7">
        <v>0</v>
      </c>
    </row>
    <row r="21" spans="1:37" ht="15">
      <c r="A21" s="16">
        <v>44743</v>
      </c>
      <c r="B21" s="8">
        <v>26989.06</v>
      </c>
      <c r="C21" s="8">
        <v>11943.96</v>
      </c>
      <c r="D21" s="10">
        <v>0</v>
      </c>
      <c r="E21" s="8">
        <v>12067.91</v>
      </c>
      <c r="F21" s="8">
        <v>10750.79</v>
      </c>
      <c r="G21" s="8">
        <v>5500.67</v>
      </c>
      <c r="H21" s="8">
        <v>2719.14</v>
      </c>
      <c r="I21" s="8">
        <v>5971.9</v>
      </c>
      <c r="J21" s="8">
        <v>6699.16</v>
      </c>
      <c r="K21" s="8">
        <v>8717.6</v>
      </c>
      <c r="L21" s="8">
        <v>7930.43</v>
      </c>
      <c r="M21" s="10">
        <v>0</v>
      </c>
      <c r="N21" s="8">
        <v>15205.86</v>
      </c>
      <c r="O21" s="8">
        <v>27783.37</v>
      </c>
      <c r="P21" s="10">
        <v>0</v>
      </c>
      <c r="Q21" s="8">
        <v>4041.52</v>
      </c>
      <c r="R21" s="8">
        <v>4721.46</v>
      </c>
      <c r="S21" s="8">
        <v>8847.65</v>
      </c>
      <c r="T21" s="8">
        <v>2215.0700000000002</v>
      </c>
      <c r="U21" s="8">
        <v>2822.62</v>
      </c>
      <c r="V21" s="8">
        <v>17556</v>
      </c>
      <c r="W21" s="8">
        <v>33814.720000000001</v>
      </c>
      <c r="X21" s="8">
        <v>50871.61</v>
      </c>
      <c r="Y21" s="8">
        <v>46036.19</v>
      </c>
      <c r="Z21" s="33">
        <v>196.2</v>
      </c>
      <c r="AA21" s="10">
        <v>0</v>
      </c>
      <c r="AB21" s="10">
        <v>0</v>
      </c>
      <c r="AC21" s="10">
        <v>0</v>
      </c>
      <c r="AD21" s="8">
        <v>3917.34</v>
      </c>
      <c r="AE21" s="8">
        <v>6398.64</v>
      </c>
      <c r="AF21" s="8">
        <v>8061.86</v>
      </c>
      <c r="AG21" s="49">
        <v>9381</v>
      </c>
      <c r="AH21" s="8">
        <v>12110.7</v>
      </c>
      <c r="AI21" s="8">
        <v>2012.83</v>
      </c>
      <c r="AJ21" s="10">
        <v>448.64</v>
      </c>
      <c r="AK21" s="7">
        <v>0</v>
      </c>
    </row>
    <row r="22" spans="1:37" ht="15">
      <c r="A22" s="16">
        <v>44774</v>
      </c>
      <c r="B22" s="8">
        <v>28279.99</v>
      </c>
      <c r="C22" s="8">
        <v>12564.82</v>
      </c>
      <c r="D22" s="10">
        <v>0</v>
      </c>
      <c r="E22" s="8">
        <v>12648.96</v>
      </c>
      <c r="F22" s="8">
        <v>11342.4</v>
      </c>
      <c r="G22" s="8">
        <v>5770.35</v>
      </c>
      <c r="H22" s="8">
        <v>2848.62</v>
      </c>
      <c r="I22" s="8">
        <v>6256.51</v>
      </c>
      <c r="J22" s="8">
        <v>7018.17</v>
      </c>
      <c r="K22" s="8">
        <v>9132.65</v>
      </c>
      <c r="L22" s="8">
        <v>8325.44</v>
      </c>
      <c r="M22" s="10">
        <v>0</v>
      </c>
      <c r="N22" s="8">
        <v>16005.63</v>
      </c>
      <c r="O22" s="8">
        <v>29147.06</v>
      </c>
      <c r="P22" s="10">
        <v>0</v>
      </c>
      <c r="Q22" s="8">
        <v>4233.97</v>
      </c>
      <c r="R22" s="8">
        <v>4946.29</v>
      </c>
      <c r="S22" s="8">
        <v>9268.9699999999993</v>
      </c>
      <c r="T22" s="8">
        <v>2320.5500000000002</v>
      </c>
      <c r="U22" s="8">
        <v>2957.03</v>
      </c>
      <c r="V22" s="8">
        <v>18526.48</v>
      </c>
      <c r="W22" s="8">
        <v>35424.94</v>
      </c>
      <c r="X22" s="8">
        <v>53457.62</v>
      </c>
      <c r="Y22" s="8">
        <v>48336.47</v>
      </c>
      <c r="Z22" s="33">
        <v>225.6</v>
      </c>
      <c r="AA22" s="10">
        <v>0</v>
      </c>
      <c r="AB22" s="10">
        <v>0</v>
      </c>
      <c r="AC22" s="10">
        <v>0</v>
      </c>
      <c r="AD22" s="8">
        <v>4103.88</v>
      </c>
      <c r="AE22" s="8">
        <v>6703.34</v>
      </c>
      <c r="AF22" s="8">
        <v>8519.7800000000007</v>
      </c>
      <c r="AG22" s="49">
        <v>10823</v>
      </c>
      <c r="AH22" s="8">
        <v>12687.37</v>
      </c>
      <c r="AI22" s="8">
        <v>2108.6799999999998</v>
      </c>
      <c r="AJ22" s="10">
        <v>470.06</v>
      </c>
      <c r="AK22" s="7">
        <v>0</v>
      </c>
    </row>
    <row r="23" spans="1:37" ht="15">
      <c r="A23" s="16">
        <v>44805</v>
      </c>
      <c r="B23" s="8">
        <v>26995.34</v>
      </c>
      <c r="C23" s="8">
        <v>12009.08</v>
      </c>
      <c r="D23" s="10">
        <v>0</v>
      </c>
      <c r="E23" s="8">
        <v>12074.01</v>
      </c>
      <c r="F23" s="8">
        <v>10850.37</v>
      </c>
      <c r="G23" s="8">
        <v>5510.35</v>
      </c>
      <c r="H23" s="8">
        <v>2719.14</v>
      </c>
      <c r="I23" s="8">
        <v>5972.9</v>
      </c>
      <c r="J23" s="8">
        <v>6699.16</v>
      </c>
      <c r="K23" s="8">
        <v>8717.27</v>
      </c>
      <c r="L23" s="8">
        <v>7952.14</v>
      </c>
      <c r="M23" s="10">
        <v>0</v>
      </c>
      <c r="N23" s="8">
        <v>15299.38</v>
      </c>
      <c r="O23" s="8">
        <v>27934.95</v>
      </c>
      <c r="P23" s="10">
        <v>0</v>
      </c>
      <c r="Q23" s="8">
        <v>4041.52</v>
      </c>
      <c r="R23" s="8">
        <v>4721.46</v>
      </c>
      <c r="S23" s="8">
        <v>8847.65</v>
      </c>
      <c r="T23" s="8">
        <v>2215.0700000000002</v>
      </c>
      <c r="U23" s="8">
        <v>2822.62</v>
      </c>
      <c r="V23" s="8">
        <v>17724.099999999999</v>
      </c>
      <c r="W23" s="8">
        <v>33814.720000000001</v>
      </c>
      <c r="X23" s="8">
        <v>51076.05</v>
      </c>
      <c r="Y23" s="8">
        <v>46171.99</v>
      </c>
      <c r="Z23" s="33">
        <v>206</v>
      </c>
      <c r="AA23" s="10">
        <v>0</v>
      </c>
      <c r="AB23" s="10">
        <v>0</v>
      </c>
      <c r="AC23" s="10">
        <v>0</v>
      </c>
      <c r="AD23" s="8">
        <v>3917.34</v>
      </c>
      <c r="AE23" s="8">
        <v>6398.64</v>
      </c>
      <c r="AF23" s="8">
        <v>8372.7800000000007</v>
      </c>
      <c r="AG23" s="49">
        <v>988.7</v>
      </c>
      <c r="AH23" s="8">
        <v>12110.57</v>
      </c>
      <c r="AI23" s="8">
        <v>2012.83</v>
      </c>
      <c r="AJ23" s="10">
        <v>448.69</v>
      </c>
      <c r="AK23" s="7">
        <v>0</v>
      </c>
    </row>
    <row r="24" spans="1:37" ht="15">
      <c r="A24" s="16">
        <v>44835</v>
      </c>
      <c r="B24" s="8">
        <v>32041.8</v>
      </c>
      <c r="C24" s="8">
        <v>12315.83</v>
      </c>
      <c r="D24" s="10">
        <v>0</v>
      </c>
      <c r="E24" s="8">
        <v>13293.38</v>
      </c>
      <c r="F24" s="8">
        <v>11799.43</v>
      </c>
      <c r="G24" s="8">
        <v>6345.64</v>
      </c>
      <c r="H24" s="8">
        <v>4781.18</v>
      </c>
      <c r="I24" s="8">
        <v>5973.11</v>
      </c>
      <c r="J24" s="8">
        <v>6699.16</v>
      </c>
      <c r="K24" s="8">
        <v>8919.17</v>
      </c>
      <c r="L24" s="8">
        <v>7945.63</v>
      </c>
      <c r="M24" s="10">
        <v>0</v>
      </c>
      <c r="N24" s="8">
        <v>15703.74</v>
      </c>
      <c r="O24" s="8">
        <v>27953.07</v>
      </c>
      <c r="P24" s="10">
        <v>0</v>
      </c>
      <c r="Q24" s="8">
        <v>4041.52</v>
      </c>
      <c r="R24" s="8">
        <v>4721.46</v>
      </c>
      <c r="S24" s="8">
        <v>8847.65</v>
      </c>
      <c r="T24" s="8">
        <v>2215.0700000000002</v>
      </c>
      <c r="U24" s="8">
        <v>3184.14</v>
      </c>
      <c r="V24" s="8">
        <v>22900.639999999999</v>
      </c>
      <c r="W24" s="8">
        <v>35819.839999999997</v>
      </c>
      <c r="X24" s="8">
        <v>53337.02</v>
      </c>
      <c r="Y24" s="8">
        <v>46580.66</v>
      </c>
      <c r="Z24" s="10">
        <v>196.18</v>
      </c>
      <c r="AA24" s="10">
        <v>0</v>
      </c>
      <c r="AB24" s="10">
        <v>0</v>
      </c>
      <c r="AC24" s="10">
        <v>0</v>
      </c>
      <c r="AD24" s="8">
        <v>3917.29</v>
      </c>
      <c r="AE24" s="8">
        <v>6443.08</v>
      </c>
      <c r="AF24" s="8">
        <v>8372.7800000000007</v>
      </c>
      <c r="AG24" s="49">
        <v>8862.6</v>
      </c>
      <c r="AH24" s="8">
        <v>16437.95</v>
      </c>
      <c r="AI24" s="8">
        <v>3455.04</v>
      </c>
      <c r="AJ24" s="10">
        <v>627.99</v>
      </c>
      <c r="AK24" s="7">
        <v>0</v>
      </c>
    </row>
    <row r="25" spans="1:37" ht="15">
      <c r="A25" s="16">
        <v>44866</v>
      </c>
      <c r="B25" s="8">
        <v>32294.85</v>
      </c>
      <c r="C25" s="8">
        <v>12345.17</v>
      </c>
      <c r="D25" s="10">
        <v>0</v>
      </c>
      <c r="E25" s="8">
        <v>13354.43</v>
      </c>
      <c r="F25" s="8">
        <v>11863.53</v>
      </c>
      <c r="G25" s="8">
        <v>6389.49</v>
      </c>
      <c r="H25" s="8">
        <v>4884.28</v>
      </c>
      <c r="I25" s="8">
        <v>5973.12</v>
      </c>
      <c r="J25" s="8">
        <v>6699.16</v>
      </c>
      <c r="K25" s="8">
        <v>8929.3700000000008</v>
      </c>
      <c r="L25" s="8">
        <v>7949.93</v>
      </c>
      <c r="M25" s="10">
        <v>0</v>
      </c>
      <c r="N25" s="8">
        <v>15739.98</v>
      </c>
      <c r="O25" s="8">
        <v>28067.91</v>
      </c>
      <c r="P25" s="10">
        <v>0</v>
      </c>
      <c r="Q25" s="8">
        <v>4041.52</v>
      </c>
      <c r="R25" s="8">
        <v>4721.46</v>
      </c>
      <c r="S25" s="8">
        <v>8847.65</v>
      </c>
      <c r="T25" s="8">
        <v>2215.0700000000002</v>
      </c>
      <c r="U25" s="8">
        <v>3202.22</v>
      </c>
      <c r="V25" s="8">
        <v>23195.93</v>
      </c>
      <c r="W25" s="8">
        <v>35920.47</v>
      </c>
      <c r="X25" s="8">
        <v>53520.89</v>
      </c>
      <c r="Y25" s="8">
        <v>46621.919999999998</v>
      </c>
      <c r="Z25" s="10">
        <v>205.99</v>
      </c>
      <c r="AA25" s="10">
        <v>0</v>
      </c>
      <c r="AB25" s="10">
        <v>0</v>
      </c>
      <c r="AC25" s="10">
        <v>0</v>
      </c>
      <c r="AD25" s="8">
        <v>3917.29</v>
      </c>
      <c r="AE25" s="8">
        <v>6445.31</v>
      </c>
      <c r="AF25" s="8">
        <v>8372.7800000000007</v>
      </c>
      <c r="AG25" s="49">
        <v>8868.4</v>
      </c>
      <c r="AH25" s="8">
        <v>16653.45</v>
      </c>
      <c r="AI25" s="8">
        <v>3528.02</v>
      </c>
      <c r="AJ25" s="10">
        <v>636.96</v>
      </c>
      <c r="AK25" s="7">
        <v>0</v>
      </c>
    </row>
    <row r="26" spans="1:37" ht="15">
      <c r="A26" s="16">
        <v>44896</v>
      </c>
      <c r="B26" s="8">
        <v>32294.34</v>
      </c>
      <c r="C26" s="8">
        <v>12323.46</v>
      </c>
      <c r="D26" s="10">
        <v>0</v>
      </c>
      <c r="E26" s="8">
        <v>13354.57</v>
      </c>
      <c r="F26" s="8">
        <v>11820.98</v>
      </c>
      <c r="G26" s="8">
        <v>6388.04</v>
      </c>
      <c r="H26" s="8">
        <v>4884.28</v>
      </c>
      <c r="I26" s="8">
        <v>5973.12</v>
      </c>
      <c r="J26" s="8">
        <v>6699.16</v>
      </c>
      <c r="K26" s="8">
        <v>8929.5300000000007</v>
      </c>
      <c r="L26" s="8">
        <v>7943.34</v>
      </c>
      <c r="M26" s="10">
        <v>0</v>
      </c>
      <c r="N26" s="8">
        <v>15702.82</v>
      </c>
      <c r="O26" s="8">
        <v>28172.62</v>
      </c>
      <c r="P26" s="10">
        <v>0</v>
      </c>
      <c r="Q26" s="8">
        <v>4041.52</v>
      </c>
      <c r="R26" s="8">
        <v>4721.46</v>
      </c>
      <c r="S26" s="8">
        <v>8847.65</v>
      </c>
      <c r="T26" s="8">
        <v>2215.0700000000002</v>
      </c>
      <c r="U26" s="8">
        <v>3202.22</v>
      </c>
      <c r="V26" s="8">
        <v>23160.39</v>
      </c>
      <c r="W26" s="8">
        <v>35921.06</v>
      </c>
      <c r="X26" s="8">
        <v>53435.64</v>
      </c>
      <c r="Y26" s="8">
        <v>46601.86</v>
      </c>
      <c r="Z26" s="10">
        <v>205.99</v>
      </c>
      <c r="AA26" s="10">
        <v>0</v>
      </c>
      <c r="AB26" s="10">
        <v>0</v>
      </c>
      <c r="AC26" s="10">
        <v>0</v>
      </c>
      <c r="AD26" s="8">
        <v>3917.29</v>
      </c>
      <c r="AE26" s="8">
        <v>6445.31</v>
      </c>
      <c r="AF26" s="8">
        <v>8372.7800000000007</v>
      </c>
      <c r="AG26" s="49">
        <v>8850.1</v>
      </c>
      <c r="AH26" s="8">
        <v>16652.04</v>
      </c>
      <c r="AI26" s="8">
        <v>3529.43</v>
      </c>
      <c r="AJ26" s="10">
        <v>636.96</v>
      </c>
      <c r="AK26" s="7">
        <v>0</v>
      </c>
    </row>
    <row r="27" spans="1:37" ht="15">
      <c r="A27" s="16">
        <v>44927</v>
      </c>
      <c r="B27" s="8">
        <v>32295.42</v>
      </c>
      <c r="C27" s="8">
        <v>11372.22</v>
      </c>
      <c r="D27" s="10">
        <v>0</v>
      </c>
      <c r="E27" s="8">
        <v>16709.91</v>
      </c>
      <c r="F27" s="8">
        <v>11952.31</v>
      </c>
      <c r="G27" s="8">
        <v>6296.89</v>
      </c>
      <c r="H27" s="8">
        <v>5022.33</v>
      </c>
      <c r="I27" s="8">
        <v>7542.89</v>
      </c>
      <c r="J27" s="8">
        <v>9726.1299999999992</v>
      </c>
      <c r="K27" s="8">
        <v>8483.2900000000009</v>
      </c>
      <c r="L27" s="8">
        <v>10651.45</v>
      </c>
      <c r="M27" s="10">
        <v>0</v>
      </c>
      <c r="N27" s="8">
        <v>15313.02</v>
      </c>
      <c r="O27" s="8">
        <v>27029.759999999998</v>
      </c>
      <c r="P27" s="10">
        <v>0</v>
      </c>
      <c r="Q27" s="8">
        <v>4987.75</v>
      </c>
      <c r="R27" s="8">
        <v>5681.91</v>
      </c>
      <c r="S27" s="8">
        <v>8426.33</v>
      </c>
      <c r="T27" s="8">
        <v>2128.21</v>
      </c>
      <c r="U27" s="8">
        <v>3946.27</v>
      </c>
      <c r="V27" s="8">
        <v>22451.68</v>
      </c>
      <c r="W27" s="8">
        <v>34822.239999999998</v>
      </c>
      <c r="X27" s="8">
        <v>51984.98</v>
      </c>
      <c r="Y27" s="8">
        <v>44884.37</v>
      </c>
      <c r="Z27" s="10">
        <v>196.15</v>
      </c>
      <c r="AA27" s="10">
        <v>0</v>
      </c>
      <c r="AB27" s="10">
        <v>0</v>
      </c>
      <c r="AC27" s="10">
        <v>0</v>
      </c>
      <c r="AD27" s="8">
        <v>3730.9</v>
      </c>
      <c r="AE27" s="8">
        <v>5757.1</v>
      </c>
      <c r="AF27" s="8">
        <v>8927.86</v>
      </c>
      <c r="AG27" s="8">
        <v>8440.81</v>
      </c>
      <c r="AH27" s="8">
        <v>15870.83</v>
      </c>
      <c r="AI27" s="8">
        <v>3373.05</v>
      </c>
      <c r="AJ27" s="10">
        <v>606.62</v>
      </c>
      <c r="AK27" s="7">
        <v>0</v>
      </c>
    </row>
    <row r="28" spans="1:37" ht="15">
      <c r="A28" s="16">
        <v>44958</v>
      </c>
      <c r="B28" s="8">
        <v>32313.73</v>
      </c>
      <c r="C28" s="8">
        <v>11381.99</v>
      </c>
      <c r="D28" s="10">
        <v>0</v>
      </c>
      <c r="E28" s="8">
        <v>16709.91</v>
      </c>
      <c r="F28" s="8">
        <v>11968.21</v>
      </c>
      <c r="G28" s="8">
        <v>6298.34</v>
      </c>
      <c r="H28" s="8">
        <v>4963.83</v>
      </c>
      <c r="I28" s="8">
        <v>7543.89</v>
      </c>
      <c r="J28" s="8">
        <v>9730.16</v>
      </c>
      <c r="K28" s="8">
        <v>8483.2900000000009</v>
      </c>
      <c r="L28" s="8">
        <v>10654.71</v>
      </c>
      <c r="M28" s="10">
        <v>0</v>
      </c>
      <c r="N28" s="8">
        <v>15297.18</v>
      </c>
      <c r="O28" s="8">
        <v>27029.759999999998</v>
      </c>
      <c r="P28" s="10">
        <v>0</v>
      </c>
      <c r="Q28" s="8">
        <v>4866.9399999999996</v>
      </c>
      <c r="R28" s="8">
        <v>5681.91</v>
      </c>
      <c r="S28" s="8">
        <v>8426.33</v>
      </c>
      <c r="T28" s="8">
        <v>2109.54</v>
      </c>
      <c r="U28" s="8">
        <v>3955.69</v>
      </c>
      <c r="V28" s="8">
        <v>22481.37</v>
      </c>
      <c r="W28" s="8">
        <v>34822.33</v>
      </c>
      <c r="X28" s="8">
        <v>52034.14</v>
      </c>
      <c r="Y28" s="8">
        <v>44899.74</v>
      </c>
      <c r="Z28" s="10">
        <v>196.14</v>
      </c>
      <c r="AA28" s="10">
        <v>0</v>
      </c>
      <c r="AB28" s="10">
        <v>0</v>
      </c>
      <c r="AC28" s="10">
        <v>0</v>
      </c>
      <c r="AD28" s="8">
        <v>3730.9</v>
      </c>
      <c r="AE28" s="8">
        <v>5756.87</v>
      </c>
      <c r="AF28" s="8">
        <v>8927.86</v>
      </c>
      <c r="AG28" s="8">
        <v>8446.6299999999992</v>
      </c>
      <c r="AH28" s="8">
        <v>15870.83</v>
      </c>
      <c r="AI28" s="8">
        <v>3373.05</v>
      </c>
      <c r="AJ28" s="10">
        <v>697.62</v>
      </c>
      <c r="AK28" s="7">
        <v>0</v>
      </c>
    </row>
    <row r="29" spans="1:37" ht="15">
      <c r="A29" s="16">
        <v>44986</v>
      </c>
      <c r="B29" s="8">
        <v>37160.129999999997</v>
      </c>
      <c r="C29" s="8">
        <v>13074.57</v>
      </c>
      <c r="D29" s="10">
        <v>0</v>
      </c>
      <c r="E29" s="8">
        <v>19216.400000000001</v>
      </c>
      <c r="F29" s="8">
        <v>13737.73</v>
      </c>
      <c r="G29" s="8">
        <v>7241.22</v>
      </c>
      <c r="H29" s="8">
        <v>5708.41</v>
      </c>
      <c r="I29" s="8">
        <v>8675.4699999999993</v>
      </c>
      <c r="J29" s="8">
        <v>11189.68</v>
      </c>
      <c r="K29" s="8">
        <v>9755.7900000000009</v>
      </c>
      <c r="L29" s="8">
        <v>12248.74</v>
      </c>
      <c r="M29" s="10">
        <v>0</v>
      </c>
      <c r="N29" s="8">
        <v>17569.25</v>
      </c>
      <c r="O29" s="8">
        <v>31084.23</v>
      </c>
      <c r="P29" s="10">
        <v>0</v>
      </c>
      <c r="Q29" s="8">
        <v>5596.98</v>
      </c>
      <c r="R29" s="8">
        <v>6534.2</v>
      </c>
      <c r="S29" s="8">
        <v>9690.2800000000007</v>
      </c>
      <c r="T29" s="8">
        <v>2425.9699999999998</v>
      </c>
      <c r="U29" s="8">
        <v>4549.04</v>
      </c>
      <c r="V29" s="8">
        <v>25813.99</v>
      </c>
      <c r="W29" s="8">
        <v>40045.67</v>
      </c>
      <c r="X29" s="8">
        <v>59770</v>
      </c>
      <c r="Y29" s="8">
        <v>51614.879999999997</v>
      </c>
      <c r="Z29" s="10">
        <v>225.57</v>
      </c>
      <c r="AA29" s="10">
        <v>0</v>
      </c>
      <c r="AB29" s="10">
        <v>0</v>
      </c>
      <c r="AC29" s="10">
        <v>0</v>
      </c>
      <c r="AD29" s="8">
        <v>4290.54</v>
      </c>
      <c r="AE29" s="8">
        <v>6620.4</v>
      </c>
      <c r="AF29" s="8">
        <v>10267.040000000001</v>
      </c>
      <c r="AG29" s="8">
        <v>9697.5300000000007</v>
      </c>
      <c r="AH29" s="8">
        <v>18251.46</v>
      </c>
      <c r="AI29" s="8">
        <v>3879.01</v>
      </c>
      <c r="AJ29" s="10">
        <v>636.96</v>
      </c>
      <c r="AK29" s="7">
        <v>0</v>
      </c>
    </row>
    <row r="30" spans="1:37" ht="15">
      <c r="A30" s="16">
        <v>45017</v>
      </c>
      <c r="B30" s="8">
        <v>32804.79</v>
      </c>
      <c r="C30" s="8">
        <v>11378.94</v>
      </c>
      <c r="D30" s="10">
        <v>0</v>
      </c>
      <c r="E30" s="8">
        <v>16710.2</v>
      </c>
      <c r="F30" s="8">
        <v>11963.71</v>
      </c>
      <c r="G30" s="8">
        <v>6297.85</v>
      </c>
      <c r="H30" s="8">
        <v>4963.83</v>
      </c>
      <c r="I30" s="8">
        <v>7543.89</v>
      </c>
      <c r="J30" s="8">
        <v>9721.67</v>
      </c>
      <c r="K30" s="8">
        <v>8529.31</v>
      </c>
      <c r="L30" s="8">
        <v>11225.93</v>
      </c>
      <c r="M30" s="10">
        <v>0</v>
      </c>
      <c r="N30" s="8">
        <v>15292.37</v>
      </c>
      <c r="O30" s="8">
        <v>27029.759999999998</v>
      </c>
      <c r="P30" s="10">
        <v>0</v>
      </c>
      <c r="Q30" s="8">
        <v>4866.9399999999996</v>
      </c>
      <c r="R30" s="8">
        <v>5681.75</v>
      </c>
      <c r="S30" s="8">
        <v>8426.33</v>
      </c>
      <c r="T30" s="8">
        <v>2109.54</v>
      </c>
      <c r="U30" s="8">
        <v>3955.48</v>
      </c>
      <c r="V30" s="8">
        <v>22469.56</v>
      </c>
      <c r="W30" s="8">
        <v>34833.410000000003</v>
      </c>
      <c r="X30" s="8">
        <v>52017.760000000002</v>
      </c>
      <c r="Y30" s="8">
        <v>44894.62</v>
      </c>
      <c r="Z30" s="10">
        <v>196.14</v>
      </c>
      <c r="AA30" s="10">
        <v>0</v>
      </c>
      <c r="AB30" s="10">
        <v>0</v>
      </c>
      <c r="AC30" s="10">
        <v>0</v>
      </c>
      <c r="AD30" s="8">
        <v>3730.9</v>
      </c>
      <c r="AE30" s="8">
        <v>5895.43</v>
      </c>
      <c r="AF30" s="8">
        <v>11168.45</v>
      </c>
      <c r="AG30" s="8">
        <v>8444.69</v>
      </c>
      <c r="AH30" s="8">
        <v>15870.83</v>
      </c>
      <c r="AI30" s="8">
        <v>3373.05</v>
      </c>
      <c r="AJ30" s="10">
        <v>636.96</v>
      </c>
      <c r="AK30" s="7">
        <v>0</v>
      </c>
    </row>
    <row r="31" spans="1:37" ht="15">
      <c r="A31" s="16">
        <v>45047</v>
      </c>
      <c r="B31" s="8">
        <v>36060.58</v>
      </c>
      <c r="C31" s="8">
        <v>12512.05</v>
      </c>
      <c r="D31" s="10">
        <v>0</v>
      </c>
      <c r="E31" s="8">
        <v>18381.22</v>
      </c>
      <c r="F31" s="8">
        <v>13150.54</v>
      </c>
      <c r="G31" s="8">
        <v>6928.7</v>
      </c>
      <c r="H31" s="8">
        <v>5460.22</v>
      </c>
      <c r="I31" s="8">
        <v>8298.27</v>
      </c>
      <c r="J31" s="8">
        <v>10693.83</v>
      </c>
      <c r="K31" s="8">
        <v>9382.25</v>
      </c>
      <c r="L31" s="8">
        <v>12347.65</v>
      </c>
      <c r="M31" s="10">
        <v>0</v>
      </c>
      <c r="N31" s="8">
        <v>16816.240000000002</v>
      </c>
      <c r="O31" s="8">
        <v>29732.74</v>
      </c>
      <c r="P31" s="10">
        <v>0</v>
      </c>
      <c r="Q31" s="8">
        <v>5353.63</v>
      </c>
      <c r="R31" s="8">
        <v>6249.92</v>
      </c>
      <c r="S31" s="8">
        <v>9268.9699999999993</v>
      </c>
      <c r="T31" s="8">
        <v>2320.5</v>
      </c>
      <c r="U31" s="8">
        <v>4351.03</v>
      </c>
      <c r="V31" s="8">
        <v>24723.279999999999</v>
      </c>
      <c r="W31" s="8">
        <v>38316.75</v>
      </c>
      <c r="X31" s="8">
        <v>57218.21</v>
      </c>
      <c r="Y31" s="8">
        <v>49389.46</v>
      </c>
      <c r="Z31" s="10">
        <v>215.76</v>
      </c>
      <c r="AA31" s="10">
        <v>0</v>
      </c>
      <c r="AB31" s="10">
        <v>0</v>
      </c>
      <c r="AC31" s="10">
        <v>0</v>
      </c>
      <c r="AD31" s="8">
        <v>4103.99</v>
      </c>
      <c r="AE31" s="8">
        <v>6484.97</v>
      </c>
      <c r="AF31" s="8">
        <v>12285.29</v>
      </c>
      <c r="AG31" s="8">
        <v>9278.98</v>
      </c>
      <c r="AH31" s="8">
        <v>17457.919999999998</v>
      </c>
      <c r="AI31" s="8">
        <v>3710.35</v>
      </c>
      <c r="AJ31" s="10">
        <v>636.91</v>
      </c>
      <c r="AK31" s="7">
        <v>0</v>
      </c>
    </row>
    <row r="32" spans="1:37" ht="15">
      <c r="A32" s="16">
        <v>45078</v>
      </c>
      <c r="B32" s="8">
        <v>35806.32</v>
      </c>
      <c r="C32" s="8">
        <v>12452.37</v>
      </c>
      <c r="D32" s="10">
        <v>0</v>
      </c>
      <c r="E32" s="8">
        <v>18381.22</v>
      </c>
      <c r="F32" s="8">
        <v>13055.12</v>
      </c>
      <c r="G32" s="8">
        <v>6918.05</v>
      </c>
      <c r="H32" s="8">
        <v>5460.22</v>
      </c>
      <c r="I32" s="8">
        <v>8298.27</v>
      </c>
      <c r="J32" s="8">
        <v>10693.83</v>
      </c>
      <c r="K32" s="8">
        <v>9382.25</v>
      </c>
      <c r="L32" s="8">
        <v>12327.02</v>
      </c>
      <c r="M32" s="10">
        <v>0</v>
      </c>
      <c r="N32" s="8">
        <v>16726.400000000001</v>
      </c>
      <c r="O32" s="8">
        <v>29732.74</v>
      </c>
      <c r="P32" s="10">
        <v>0</v>
      </c>
      <c r="Q32" s="8">
        <v>5353.63</v>
      </c>
      <c r="R32" s="8">
        <v>6249.92</v>
      </c>
      <c r="S32" s="8">
        <v>9268.9699999999993</v>
      </c>
      <c r="T32" s="8">
        <v>2320.5</v>
      </c>
      <c r="U32" s="8">
        <v>4351.03</v>
      </c>
      <c r="V32" s="8">
        <v>24522.67</v>
      </c>
      <c r="W32" s="8">
        <v>38316.75</v>
      </c>
      <c r="X32" s="8">
        <v>56895.03</v>
      </c>
      <c r="Y32" s="8">
        <v>49282.63</v>
      </c>
      <c r="Z32" s="10">
        <v>215.76</v>
      </c>
      <c r="AA32" s="10">
        <v>0</v>
      </c>
      <c r="AB32" s="10">
        <v>0</v>
      </c>
      <c r="AC32" s="10">
        <v>0</v>
      </c>
      <c r="AD32" s="8">
        <v>4103.99</v>
      </c>
      <c r="AE32" s="8">
        <v>6484.97</v>
      </c>
      <c r="AF32" s="8">
        <v>12285.29</v>
      </c>
      <c r="AG32" s="8">
        <v>9250.7999999999993</v>
      </c>
      <c r="AH32" s="8">
        <v>17457.919999999998</v>
      </c>
      <c r="AI32" s="8">
        <v>3710.35</v>
      </c>
      <c r="AJ32" s="10">
        <v>636.09</v>
      </c>
      <c r="AK32" s="7">
        <v>0</v>
      </c>
    </row>
    <row r="33" spans="1:37" ht="15">
      <c r="A33" s="16">
        <v>45108</v>
      </c>
      <c r="B33" s="8">
        <v>32285.279999999999</v>
      </c>
      <c r="C33" s="8">
        <v>11320.23</v>
      </c>
      <c r="D33" s="10">
        <v>0</v>
      </c>
      <c r="E33" s="8">
        <v>16712.810000000001</v>
      </c>
      <c r="F33" s="8">
        <v>11867.49</v>
      </c>
      <c r="G33" s="8">
        <v>6288.8</v>
      </c>
      <c r="H33" s="8">
        <v>4661.18</v>
      </c>
      <c r="I33" s="8">
        <v>7534.12</v>
      </c>
      <c r="J33" s="8">
        <v>9741.67</v>
      </c>
      <c r="K33" s="8">
        <v>8483.2900000000009</v>
      </c>
      <c r="L33" s="8">
        <v>10634.08</v>
      </c>
      <c r="M33" s="10">
        <v>0</v>
      </c>
      <c r="N33" s="8">
        <v>15266.36</v>
      </c>
      <c r="O33" s="8">
        <v>27030.3</v>
      </c>
      <c r="P33" s="10">
        <v>0</v>
      </c>
      <c r="Q33" s="8">
        <v>5038.63</v>
      </c>
      <c r="R33" s="8">
        <v>5555.14</v>
      </c>
      <c r="S33" s="8">
        <v>8426.33</v>
      </c>
      <c r="T33" s="8">
        <v>2109.56</v>
      </c>
      <c r="U33" s="8">
        <v>3948.15</v>
      </c>
      <c r="V33" s="8">
        <v>22293.33</v>
      </c>
      <c r="W33" s="8">
        <v>34744.97</v>
      </c>
      <c r="X33" s="8">
        <v>51236.41</v>
      </c>
      <c r="Y33" s="8">
        <v>44794.559999999998</v>
      </c>
      <c r="Z33" s="10">
        <v>196.16</v>
      </c>
      <c r="AA33" s="10">
        <v>0</v>
      </c>
      <c r="AB33" s="10">
        <v>0</v>
      </c>
      <c r="AC33" s="10">
        <v>0</v>
      </c>
      <c r="AD33" s="8">
        <v>3730.81</v>
      </c>
      <c r="AE33" s="8">
        <v>5756.75</v>
      </c>
      <c r="AF33" s="8">
        <v>9534.16</v>
      </c>
      <c r="AG33" s="8">
        <v>9382.39</v>
      </c>
      <c r="AH33" s="8">
        <v>15870.83</v>
      </c>
      <c r="AI33" s="8">
        <v>3372.91</v>
      </c>
      <c r="AJ33" s="10">
        <v>605.66999999999996</v>
      </c>
      <c r="AK33" s="7">
        <v>0</v>
      </c>
    </row>
    <row r="34" spans="1:37" ht="15">
      <c r="A34" s="16">
        <v>45139</v>
      </c>
      <c r="B34" s="8">
        <v>37131.120000000003</v>
      </c>
      <c r="C34" s="8">
        <v>13076.87</v>
      </c>
      <c r="D34" s="10">
        <v>0</v>
      </c>
      <c r="E34" s="8">
        <v>19219.740000000002</v>
      </c>
      <c r="F34" s="8">
        <v>13743.03</v>
      </c>
      <c r="G34" s="8">
        <v>7240.83</v>
      </c>
      <c r="H34" s="8">
        <v>5360.36</v>
      </c>
      <c r="I34" s="8">
        <v>8664.23</v>
      </c>
      <c r="J34" s="8">
        <v>11202.93</v>
      </c>
      <c r="K34" s="8">
        <v>9755.7900000000009</v>
      </c>
      <c r="L34" s="8">
        <v>12248.74</v>
      </c>
      <c r="M34" s="10">
        <v>0</v>
      </c>
      <c r="N34" s="8">
        <v>17642.87</v>
      </c>
      <c r="O34" s="8">
        <v>31084.84</v>
      </c>
      <c r="P34" s="10">
        <v>0</v>
      </c>
      <c r="Q34" s="8">
        <v>5874.84</v>
      </c>
      <c r="R34" s="8">
        <v>6388.41</v>
      </c>
      <c r="S34" s="8">
        <v>9690.2800000000007</v>
      </c>
      <c r="T34" s="8">
        <v>2425.9899999999998</v>
      </c>
      <c r="U34" s="8">
        <v>4527.38</v>
      </c>
      <c r="V34" s="8">
        <v>25788.81</v>
      </c>
      <c r="W34" s="8">
        <v>39956.22</v>
      </c>
      <c r="X34" s="8">
        <v>59216.87</v>
      </c>
      <c r="Y34" s="8">
        <v>51605.97</v>
      </c>
      <c r="Z34" s="10">
        <v>225.58</v>
      </c>
      <c r="AA34" s="10">
        <v>0</v>
      </c>
      <c r="AB34" s="10">
        <v>0</v>
      </c>
      <c r="AC34" s="10">
        <v>0</v>
      </c>
      <c r="AD34" s="8">
        <v>4290.54</v>
      </c>
      <c r="AE34" s="8">
        <v>6620.26</v>
      </c>
      <c r="AF34" s="8">
        <v>10964.28</v>
      </c>
      <c r="AG34" s="8">
        <v>10824.63</v>
      </c>
      <c r="AH34" s="8">
        <v>18251.46</v>
      </c>
      <c r="AI34" s="8">
        <v>3878.84</v>
      </c>
      <c r="AJ34" s="10">
        <v>605.54999999999995</v>
      </c>
      <c r="AK34" s="7">
        <v>0</v>
      </c>
    </row>
    <row r="35" spans="1:37" ht="15">
      <c r="A35" s="16">
        <v>45170</v>
      </c>
      <c r="B35" s="8">
        <v>33902.93</v>
      </c>
      <c r="C35" s="8">
        <v>11951.36</v>
      </c>
      <c r="D35" s="10">
        <v>0</v>
      </c>
      <c r="E35" s="8">
        <v>17548.45</v>
      </c>
      <c r="F35" s="8">
        <v>12566.89</v>
      </c>
      <c r="G35" s="8">
        <v>6612.92</v>
      </c>
      <c r="H35" s="8">
        <v>4894.24</v>
      </c>
      <c r="I35" s="8">
        <v>7910.82</v>
      </c>
      <c r="J35" s="8">
        <v>10228.76</v>
      </c>
      <c r="K35" s="8">
        <v>8907.4599999999991</v>
      </c>
      <c r="L35" s="8">
        <v>11187.5</v>
      </c>
      <c r="M35" s="10">
        <v>0</v>
      </c>
      <c r="N35" s="8">
        <v>16125.85</v>
      </c>
      <c r="O35" s="8">
        <v>28381.81</v>
      </c>
      <c r="P35" s="10">
        <v>0</v>
      </c>
      <c r="Q35" s="8">
        <v>5363.98</v>
      </c>
      <c r="R35" s="8">
        <v>5832.89</v>
      </c>
      <c r="S35" s="8">
        <v>8847.65</v>
      </c>
      <c r="T35" s="8">
        <v>2215.0300000000002</v>
      </c>
      <c r="U35" s="8">
        <v>4133.6899999999996</v>
      </c>
      <c r="V35" s="8">
        <v>23576.3</v>
      </c>
      <c r="W35" s="8">
        <v>36481.760000000002</v>
      </c>
      <c r="X35" s="8">
        <v>54126.01</v>
      </c>
      <c r="Y35" s="8">
        <v>47136.76</v>
      </c>
      <c r="Z35" s="10">
        <v>205.96</v>
      </c>
      <c r="AA35" s="10">
        <v>0</v>
      </c>
      <c r="AB35" s="10">
        <v>0</v>
      </c>
      <c r="AC35" s="10">
        <v>0</v>
      </c>
      <c r="AD35" s="8">
        <v>3917.45</v>
      </c>
      <c r="AE35" s="8">
        <v>6044.58</v>
      </c>
      <c r="AF35" s="8">
        <v>10010.870000000001</v>
      </c>
      <c r="AG35" s="8">
        <v>9890.26</v>
      </c>
      <c r="AH35" s="8">
        <v>16664.37</v>
      </c>
      <c r="AI35" s="8">
        <v>3541.55</v>
      </c>
      <c r="AJ35" s="10">
        <v>696.39</v>
      </c>
      <c r="AK35" s="7">
        <v>0</v>
      </c>
    </row>
    <row r="36" spans="1:37" ht="15">
      <c r="A36" s="16">
        <v>45200</v>
      </c>
      <c r="B36" s="8">
        <v>33901.919999999998</v>
      </c>
      <c r="C36" s="8">
        <v>11931.39</v>
      </c>
      <c r="D36" s="10">
        <v>0</v>
      </c>
      <c r="E36" s="8">
        <v>17545.41</v>
      </c>
      <c r="F36" s="8">
        <v>12535.08</v>
      </c>
      <c r="G36" s="8">
        <v>6610.02</v>
      </c>
      <c r="H36" s="8">
        <v>5334.86</v>
      </c>
      <c r="I36" s="8">
        <v>7918.98</v>
      </c>
      <c r="J36" s="8">
        <v>10214.700000000001</v>
      </c>
      <c r="K36" s="8">
        <v>8907.4599999999991</v>
      </c>
      <c r="L36" s="8">
        <v>11180.99</v>
      </c>
      <c r="M36" s="10">
        <v>0</v>
      </c>
      <c r="N36" s="8">
        <v>16097</v>
      </c>
      <c r="O36" s="8">
        <v>28381.57</v>
      </c>
      <c r="P36" s="10">
        <v>0</v>
      </c>
      <c r="Q36" s="8">
        <v>5363.98</v>
      </c>
      <c r="R36" s="8">
        <v>5966</v>
      </c>
      <c r="S36" s="8">
        <v>8847.65</v>
      </c>
      <c r="T36" s="8">
        <v>2254.23</v>
      </c>
      <c r="U36" s="8">
        <v>4133.6899999999996</v>
      </c>
      <c r="V36" s="8">
        <v>23546.55</v>
      </c>
      <c r="W36" s="8">
        <v>36481.800000000003</v>
      </c>
      <c r="X36" s="8">
        <v>54538.34</v>
      </c>
      <c r="Y36" s="8">
        <v>47114.239999999998</v>
      </c>
      <c r="Z36" s="10">
        <v>205.96</v>
      </c>
      <c r="AA36" s="33">
        <v>4672</v>
      </c>
      <c r="AB36" s="10">
        <v>0</v>
      </c>
      <c r="AC36" s="10">
        <v>0</v>
      </c>
      <c r="AD36" s="8">
        <v>3917.45</v>
      </c>
      <c r="AE36" s="8">
        <v>6045.2</v>
      </c>
      <c r="AF36" s="8">
        <v>9374.26</v>
      </c>
      <c r="AG36" s="8">
        <v>8857.43</v>
      </c>
      <c r="AH36" s="8">
        <v>16664.37</v>
      </c>
      <c r="AI36" s="8">
        <v>3541.7</v>
      </c>
      <c r="AJ36" s="10">
        <v>607.97</v>
      </c>
      <c r="AK36" s="7">
        <v>0</v>
      </c>
    </row>
    <row r="37" spans="1:37" ht="15">
      <c r="A37" s="16">
        <v>45231</v>
      </c>
      <c r="B37" s="8">
        <v>33901.910000000003</v>
      </c>
      <c r="C37" s="8">
        <v>11941.18</v>
      </c>
      <c r="D37" s="10">
        <v>0</v>
      </c>
      <c r="E37" s="8">
        <v>17545.41</v>
      </c>
      <c r="F37" s="8">
        <v>12550.98</v>
      </c>
      <c r="G37" s="8">
        <v>6611.49</v>
      </c>
      <c r="H37" s="8">
        <v>5334.86</v>
      </c>
      <c r="I37" s="8">
        <v>7918.98</v>
      </c>
      <c r="J37" s="8">
        <v>10196.540000000001</v>
      </c>
      <c r="K37" s="8">
        <v>8907.4599999999991</v>
      </c>
      <c r="L37" s="8">
        <v>11184.24</v>
      </c>
      <c r="M37" s="10">
        <v>0</v>
      </c>
      <c r="N37" s="8">
        <v>16111.42</v>
      </c>
      <c r="O37" s="8">
        <v>28381.25</v>
      </c>
      <c r="P37" s="10">
        <v>0</v>
      </c>
      <c r="Q37" s="8">
        <v>5363.98</v>
      </c>
      <c r="R37" s="8">
        <v>5966</v>
      </c>
      <c r="S37" s="8">
        <v>8847.65</v>
      </c>
      <c r="T37" s="8">
        <v>2254.23</v>
      </c>
      <c r="U37" s="8">
        <v>4133.6899999999996</v>
      </c>
      <c r="V37" s="8">
        <v>23576.240000000002</v>
      </c>
      <c r="W37" s="8">
        <v>36485.68</v>
      </c>
      <c r="X37" s="8">
        <v>54587.5</v>
      </c>
      <c r="Y37" s="8">
        <v>47129.61</v>
      </c>
      <c r="Z37" s="10">
        <v>205.96</v>
      </c>
      <c r="AA37" s="33">
        <v>4461</v>
      </c>
      <c r="AB37" s="10">
        <v>0</v>
      </c>
      <c r="AC37" s="10">
        <v>0</v>
      </c>
      <c r="AD37" s="8">
        <v>3917.45</v>
      </c>
      <c r="AE37" s="8">
        <v>6045.2</v>
      </c>
      <c r="AF37" s="8">
        <v>9374.26</v>
      </c>
      <c r="AG37" s="8">
        <v>8863.24</v>
      </c>
      <c r="AH37" s="8">
        <v>16664.37</v>
      </c>
      <c r="AI37" s="8">
        <v>3541.7</v>
      </c>
      <c r="AJ37" s="10">
        <v>668.77</v>
      </c>
      <c r="AK37" s="7">
        <v>0</v>
      </c>
    </row>
    <row r="38" spans="1:37" ht="15">
      <c r="A38" s="16">
        <v>45261</v>
      </c>
      <c r="B38" s="8">
        <v>33891.199999999997</v>
      </c>
      <c r="C38" s="8">
        <v>11923.03</v>
      </c>
      <c r="D38" s="10">
        <v>0</v>
      </c>
      <c r="E38" s="8">
        <v>17545.41</v>
      </c>
      <c r="F38" s="8">
        <v>12519.18</v>
      </c>
      <c r="G38" s="8">
        <v>6610.86</v>
      </c>
      <c r="H38" s="8">
        <v>5334.86</v>
      </c>
      <c r="I38" s="8">
        <v>7918.98</v>
      </c>
      <c r="J38" s="8">
        <v>10208.200000000001</v>
      </c>
      <c r="K38" s="8">
        <v>8907.4599999999991</v>
      </c>
      <c r="L38" s="8">
        <v>11178.81</v>
      </c>
      <c r="M38" s="10">
        <v>0</v>
      </c>
      <c r="N38" s="8">
        <v>16085.86</v>
      </c>
      <c r="O38" s="8">
        <v>28381.25</v>
      </c>
      <c r="P38" s="10">
        <v>0</v>
      </c>
      <c r="Q38" s="8">
        <v>5363.98</v>
      </c>
      <c r="R38" s="8">
        <v>5966</v>
      </c>
      <c r="S38" s="8">
        <v>8847.65</v>
      </c>
      <c r="T38" s="8">
        <v>2254.23</v>
      </c>
      <c r="U38" s="8">
        <v>4133.6899999999996</v>
      </c>
      <c r="V38" s="8">
        <v>23541.54</v>
      </c>
      <c r="W38" s="8">
        <v>36563.26</v>
      </c>
      <c r="X38" s="8">
        <v>54517.35</v>
      </c>
      <c r="Y38" s="8">
        <v>47113.48</v>
      </c>
      <c r="Z38" s="10">
        <v>205.96</v>
      </c>
      <c r="AA38" s="33">
        <v>4248</v>
      </c>
      <c r="AB38" s="10">
        <v>0</v>
      </c>
      <c r="AC38" s="10">
        <v>0</v>
      </c>
      <c r="AD38" s="8">
        <v>3917.45</v>
      </c>
      <c r="AE38" s="8">
        <v>6045.2</v>
      </c>
      <c r="AF38" s="8">
        <v>9374.26</v>
      </c>
      <c r="AG38" s="8">
        <v>8844.93</v>
      </c>
      <c r="AH38" s="8">
        <v>16664.37</v>
      </c>
      <c r="AI38" s="8">
        <v>3541.7</v>
      </c>
      <c r="AJ38" s="10">
        <v>668.77</v>
      </c>
      <c r="AK38" s="7">
        <v>0</v>
      </c>
    </row>
    <row r="39" spans="1:37" ht="15">
      <c r="A39" s="16">
        <v>45292</v>
      </c>
      <c r="B39" s="8">
        <v>31907.200000000001</v>
      </c>
      <c r="C39" s="8">
        <v>11401.16</v>
      </c>
      <c r="D39" s="10">
        <v>0</v>
      </c>
      <c r="E39" s="8">
        <v>17675.7</v>
      </c>
      <c r="F39" s="8">
        <v>13403.05</v>
      </c>
      <c r="G39" s="8">
        <v>6970.93</v>
      </c>
      <c r="H39" s="8">
        <v>4832.9399999999996</v>
      </c>
      <c r="I39" s="8">
        <v>7167.19</v>
      </c>
      <c r="J39" s="8">
        <v>9243.24</v>
      </c>
      <c r="K39" s="8">
        <v>8111.77</v>
      </c>
      <c r="L39" s="8">
        <v>10639.96</v>
      </c>
      <c r="M39" s="10">
        <v>0</v>
      </c>
      <c r="N39" s="8">
        <v>15002.76</v>
      </c>
      <c r="O39" s="8">
        <v>26439.85</v>
      </c>
      <c r="P39" s="10">
        <v>0</v>
      </c>
      <c r="Q39" s="8">
        <v>4853.21</v>
      </c>
      <c r="R39" s="8">
        <v>5293.68</v>
      </c>
      <c r="S39" s="8">
        <v>7714.32</v>
      </c>
      <c r="T39" s="8">
        <v>2039.75</v>
      </c>
      <c r="U39" s="8">
        <v>4191.3599999999997</v>
      </c>
      <c r="V39" s="8">
        <v>21957.06</v>
      </c>
      <c r="W39" s="8">
        <v>34096.949999999997</v>
      </c>
      <c r="X39" s="8">
        <v>50368.57</v>
      </c>
      <c r="Y39" s="8">
        <v>43529.34</v>
      </c>
      <c r="Z39" s="10">
        <v>186.35</v>
      </c>
      <c r="AA39" s="8">
        <v>4036.07</v>
      </c>
      <c r="AB39" s="10">
        <v>0</v>
      </c>
      <c r="AC39" s="10">
        <v>0</v>
      </c>
      <c r="AD39" s="8">
        <v>4634.93</v>
      </c>
      <c r="AE39" s="8">
        <v>5600.66</v>
      </c>
      <c r="AF39" s="8">
        <v>10610.02</v>
      </c>
      <c r="AG39" s="8">
        <v>8012.57</v>
      </c>
      <c r="AH39" s="8">
        <v>15658.08</v>
      </c>
      <c r="AI39" s="8">
        <v>3204.4</v>
      </c>
      <c r="AJ39" s="10">
        <v>577.57000000000005</v>
      </c>
      <c r="AK39" s="7">
        <v>0</v>
      </c>
    </row>
    <row r="40" spans="1:37" ht="15">
      <c r="A40" s="16">
        <v>45323</v>
      </c>
      <c r="B40" s="8">
        <v>35360.800000000003</v>
      </c>
      <c r="C40" s="8">
        <v>12623.21</v>
      </c>
      <c r="D40" s="10">
        <v>0</v>
      </c>
      <c r="E40" s="8">
        <v>19536.3</v>
      </c>
      <c r="F40" s="8">
        <v>14849.61</v>
      </c>
      <c r="G40" s="8">
        <v>7707.97</v>
      </c>
      <c r="H40" s="8">
        <v>5341.67</v>
      </c>
      <c r="I40" s="8">
        <v>7921.63</v>
      </c>
      <c r="J40" s="8">
        <v>10216.209999999999</v>
      </c>
      <c r="K40" s="8">
        <v>8965.64</v>
      </c>
      <c r="L40" s="8">
        <v>11767.44</v>
      </c>
      <c r="M40" s="10">
        <v>0</v>
      </c>
      <c r="N40" s="8">
        <v>16614.39</v>
      </c>
      <c r="O40" s="8">
        <v>29222.99</v>
      </c>
      <c r="P40" s="10">
        <v>0</v>
      </c>
      <c r="Q40" s="8">
        <v>5364.07</v>
      </c>
      <c r="R40" s="8">
        <v>5850.91</v>
      </c>
      <c r="S40" s="8">
        <v>8526.35</v>
      </c>
      <c r="T40" s="8">
        <v>2254.4699999999998</v>
      </c>
      <c r="U40" s="8">
        <v>4632.5600000000004</v>
      </c>
      <c r="V40" s="8">
        <v>24333.759999999998</v>
      </c>
      <c r="W40" s="8">
        <v>37686.11</v>
      </c>
      <c r="X40" s="8">
        <v>55780.93</v>
      </c>
      <c r="Y40" s="8">
        <v>48145.89</v>
      </c>
      <c r="Z40" s="10">
        <v>205.96</v>
      </c>
      <c r="AA40" s="8">
        <v>4460.92</v>
      </c>
      <c r="AB40" s="10">
        <v>0</v>
      </c>
      <c r="AC40" s="10">
        <v>0</v>
      </c>
      <c r="AD40" s="8">
        <v>5122.8100000000004</v>
      </c>
      <c r="AE40" s="8">
        <v>6190.2</v>
      </c>
      <c r="AF40" s="8">
        <v>11726.87</v>
      </c>
      <c r="AG40" s="8">
        <v>8869.0499999999993</v>
      </c>
      <c r="AH40" s="8">
        <v>17306.3</v>
      </c>
      <c r="AI40" s="8">
        <v>3541.7</v>
      </c>
      <c r="AJ40" s="10">
        <v>638.37</v>
      </c>
      <c r="AK40" s="7">
        <v>0</v>
      </c>
    </row>
    <row r="41" spans="1:37" ht="15">
      <c r="A41" s="16">
        <v>45352</v>
      </c>
      <c r="B41" s="8">
        <v>35262.31</v>
      </c>
      <c r="C41" s="8">
        <v>12601.5</v>
      </c>
      <c r="D41" s="10">
        <v>0</v>
      </c>
      <c r="E41" s="8">
        <v>19536.3</v>
      </c>
      <c r="F41" s="8">
        <v>14812.5</v>
      </c>
      <c r="G41" s="8">
        <v>7705.07</v>
      </c>
      <c r="H41" s="8">
        <v>5341.67</v>
      </c>
      <c r="I41" s="8">
        <v>7921.63</v>
      </c>
      <c r="J41" s="8">
        <v>10216.209999999999</v>
      </c>
      <c r="K41" s="8">
        <v>8965.64</v>
      </c>
      <c r="L41" s="8">
        <v>11760.77</v>
      </c>
      <c r="M41" s="10">
        <v>0</v>
      </c>
      <c r="N41" s="8">
        <v>16581.560000000001</v>
      </c>
      <c r="O41" s="8">
        <v>29222.99</v>
      </c>
      <c r="P41" s="10">
        <v>0</v>
      </c>
      <c r="Q41" s="8">
        <v>5364.07</v>
      </c>
      <c r="R41" s="8">
        <v>5850.91</v>
      </c>
      <c r="S41" s="8">
        <v>8526.35</v>
      </c>
      <c r="T41" s="8">
        <v>2254.4699999999998</v>
      </c>
      <c r="U41" s="8">
        <v>4632.5600000000004</v>
      </c>
      <c r="V41" s="8">
        <v>24274.11</v>
      </c>
      <c r="W41" s="8">
        <v>37686.11</v>
      </c>
      <c r="X41" s="8">
        <v>55676.43</v>
      </c>
      <c r="Y41" s="8">
        <v>48115.05</v>
      </c>
      <c r="Z41" s="10">
        <v>205.96</v>
      </c>
      <c r="AA41" s="8">
        <v>4460.92</v>
      </c>
      <c r="AB41" s="10">
        <v>0</v>
      </c>
      <c r="AC41" s="10">
        <v>0</v>
      </c>
      <c r="AD41" s="8">
        <v>5122.8100000000004</v>
      </c>
      <c r="AE41" s="8">
        <v>6190.2</v>
      </c>
      <c r="AF41" s="8">
        <v>11726.87</v>
      </c>
      <c r="AG41" s="8">
        <v>8848.7999999999993</v>
      </c>
      <c r="AH41" s="8">
        <v>17306.3</v>
      </c>
      <c r="AI41" s="8">
        <v>3541.7</v>
      </c>
      <c r="AJ41" s="10">
        <v>638.37</v>
      </c>
      <c r="AK41" s="7">
        <v>0</v>
      </c>
    </row>
    <row r="42" spans="1:37" ht="15">
      <c r="A42" s="16">
        <v>45383</v>
      </c>
      <c r="B42" s="8">
        <v>37059.410000000003</v>
      </c>
      <c r="C42" s="8">
        <v>13227.72</v>
      </c>
      <c r="D42" s="10">
        <v>0</v>
      </c>
      <c r="E42" s="8">
        <v>20420.560000000001</v>
      </c>
      <c r="F42" s="8">
        <v>15562.28</v>
      </c>
      <c r="G42" s="8">
        <v>8075.52</v>
      </c>
      <c r="H42" s="8">
        <v>9931.69</v>
      </c>
      <c r="I42" s="8">
        <v>19765.080000000002</v>
      </c>
      <c r="J42" s="8">
        <v>10702.7</v>
      </c>
      <c r="K42" s="8">
        <v>9392.57</v>
      </c>
      <c r="L42" s="8">
        <v>12328.96</v>
      </c>
      <c r="M42" s="10">
        <v>0</v>
      </c>
      <c r="N42" s="8">
        <v>13035.41</v>
      </c>
      <c r="O42" s="8">
        <v>30614.560000000001</v>
      </c>
      <c r="P42" s="10">
        <v>0</v>
      </c>
      <c r="Q42" s="8">
        <v>5711.3</v>
      </c>
      <c r="R42" s="8">
        <v>6070.57</v>
      </c>
      <c r="S42" s="8">
        <v>8932.3700000000008</v>
      </c>
      <c r="T42" s="8">
        <v>4890.83</v>
      </c>
      <c r="U42" s="8">
        <v>6233.32</v>
      </c>
      <c r="V42" s="8">
        <v>25502.69</v>
      </c>
      <c r="W42" s="8">
        <v>39480.68</v>
      </c>
      <c r="X42" s="8">
        <v>58454.34</v>
      </c>
      <c r="Y42" s="8">
        <v>50443.92</v>
      </c>
      <c r="Z42" s="10">
        <v>215.77</v>
      </c>
      <c r="AA42" s="8">
        <v>4673.3500000000004</v>
      </c>
      <c r="AB42" s="8">
        <v>10602.55</v>
      </c>
      <c r="AC42" s="10">
        <v>0</v>
      </c>
      <c r="AD42" s="8">
        <v>13780.89</v>
      </c>
      <c r="AE42" s="8">
        <v>6484.97</v>
      </c>
      <c r="AF42" s="8">
        <v>22290.71</v>
      </c>
      <c r="AG42" s="8">
        <v>9293.42</v>
      </c>
      <c r="AH42" s="8">
        <v>18029.53</v>
      </c>
      <c r="AI42" s="8">
        <v>3676.93</v>
      </c>
      <c r="AJ42" s="10">
        <v>668.77</v>
      </c>
      <c r="AK42" s="7">
        <v>0</v>
      </c>
    </row>
    <row r="43" spans="1:37" ht="15">
      <c r="A43" s="16">
        <v>45413</v>
      </c>
      <c r="B43" s="8">
        <v>36975.53</v>
      </c>
      <c r="C43" s="8">
        <v>13209.27</v>
      </c>
      <c r="D43" s="10">
        <v>0</v>
      </c>
      <c r="E43" s="8">
        <v>20420.560000000001</v>
      </c>
      <c r="F43" s="8">
        <v>15530.48</v>
      </c>
      <c r="G43" s="8">
        <v>8074.56</v>
      </c>
      <c r="H43" s="8">
        <v>9931.69</v>
      </c>
      <c r="I43" s="8">
        <v>19765.080000000002</v>
      </c>
      <c r="J43" s="8">
        <v>10702.7</v>
      </c>
      <c r="K43" s="8">
        <v>9392.57</v>
      </c>
      <c r="L43" s="8">
        <v>12323.4</v>
      </c>
      <c r="M43" s="10">
        <v>0</v>
      </c>
      <c r="N43" s="8">
        <v>13013.14</v>
      </c>
      <c r="O43" s="8">
        <v>30614.560000000001</v>
      </c>
      <c r="P43" s="10">
        <v>0</v>
      </c>
      <c r="Q43" s="8">
        <v>5711.3</v>
      </c>
      <c r="R43" s="8">
        <v>6070.57</v>
      </c>
      <c r="S43" s="8">
        <v>8932.3700000000008</v>
      </c>
      <c r="T43" s="8">
        <v>4890.83</v>
      </c>
      <c r="U43" s="8">
        <v>6233.32</v>
      </c>
      <c r="V43" s="8">
        <v>25468.79</v>
      </c>
      <c r="W43" s="8">
        <v>39480.68</v>
      </c>
      <c r="X43" s="8">
        <v>58353.79</v>
      </c>
      <c r="Y43" s="8">
        <v>50427.78</v>
      </c>
      <c r="Z43" s="10">
        <v>215.77</v>
      </c>
      <c r="AA43" s="8">
        <v>4673.3500000000004</v>
      </c>
      <c r="AB43" s="8">
        <v>10602.55</v>
      </c>
      <c r="AC43" s="10">
        <v>0</v>
      </c>
      <c r="AD43" s="8">
        <v>13780.89</v>
      </c>
      <c r="AE43" s="8">
        <v>6484.97</v>
      </c>
      <c r="AF43" s="8">
        <v>22290.71</v>
      </c>
      <c r="AG43" s="8">
        <v>9275.11</v>
      </c>
      <c r="AH43" s="8">
        <v>18029.53</v>
      </c>
      <c r="AI43" s="8">
        <v>3676.93</v>
      </c>
      <c r="AJ43" s="10">
        <v>668.77</v>
      </c>
      <c r="AK43" s="7">
        <v>0</v>
      </c>
    </row>
    <row r="44" spans="1:37" ht="15">
      <c r="A44" s="16">
        <v>45444</v>
      </c>
      <c r="B44" s="8">
        <v>33408.51</v>
      </c>
      <c r="C44" s="8">
        <v>11960.09</v>
      </c>
      <c r="D44" s="10">
        <v>0</v>
      </c>
      <c r="E44" s="8">
        <v>18564.150000000001</v>
      </c>
      <c r="F44" s="8">
        <v>14041.51</v>
      </c>
      <c r="G44" s="8">
        <v>7331.7</v>
      </c>
      <c r="H44" s="8">
        <v>9028.81</v>
      </c>
      <c r="I44" s="8">
        <v>17968.259999999998</v>
      </c>
      <c r="J44" s="8">
        <v>9729.73</v>
      </c>
      <c r="K44" s="8">
        <v>8538.7000000000007</v>
      </c>
      <c r="L44" s="8">
        <v>11185.92</v>
      </c>
      <c r="M44" s="10">
        <v>0</v>
      </c>
      <c r="N44" s="8">
        <v>11761.3</v>
      </c>
      <c r="O44" s="8">
        <v>27831.42</v>
      </c>
      <c r="P44" s="10">
        <v>0</v>
      </c>
      <c r="Q44" s="8">
        <v>5192.09</v>
      </c>
      <c r="R44" s="8">
        <v>5518.7</v>
      </c>
      <c r="S44" s="8">
        <v>8120.33</v>
      </c>
      <c r="T44" s="8">
        <v>4446.21</v>
      </c>
      <c r="U44" s="8">
        <v>5666.66</v>
      </c>
      <c r="V44" s="8">
        <v>22990</v>
      </c>
      <c r="W44" s="8">
        <v>35891.53</v>
      </c>
      <c r="X44" s="8">
        <v>52690.94</v>
      </c>
      <c r="Y44" s="8">
        <v>45755.64</v>
      </c>
      <c r="Z44" s="10">
        <v>196.16</v>
      </c>
      <c r="AA44" s="8">
        <v>4248.5</v>
      </c>
      <c r="AB44" s="8">
        <v>9638.68</v>
      </c>
      <c r="AC44" s="10">
        <v>0</v>
      </c>
      <c r="AD44" s="8">
        <v>12528.08</v>
      </c>
      <c r="AE44" s="8">
        <v>5895.43</v>
      </c>
      <c r="AF44" s="8">
        <v>20264.28</v>
      </c>
      <c r="AG44" s="8">
        <v>8409.81</v>
      </c>
      <c r="AH44" s="8">
        <v>16390.48</v>
      </c>
      <c r="AI44" s="8">
        <v>3342.66</v>
      </c>
      <c r="AJ44" s="10">
        <v>607.97</v>
      </c>
      <c r="AK44" s="7">
        <v>0</v>
      </c>
    </row>
    <row r="45" spans="1:37" ht="15">
      <c r="A45" s="16">
        <v>45474</v>
      </c>
      <c r="B45" s="8">
        <v>32999.67</v>
      </c>
      <c r="C45" s="8">
        <v>11320.34</v>
      </c>
      <c r="D45" s="10">
        <v>0</v>
      </c>
      <c r="E45" s="8">
        <v>16710.2</v>
      </c>
      <c r="F45" s="8">
        <v>12184.36</v>
      </c>
      <c r="G45" s="8">
        <v>6289.14</v>
      </c>
      <c r="H45" s="8">
        <v>4963.83</v>
      </c>
      <c r="I45" s="8">
        <v>7543.89</v>
      </c>
      <c r="J45" s="8">
        <v>9859.7900000000009</v>
      </c>
      <c r="K45" s="8">
        <v>8533.07</v>
      </c>
      <c r="L45" s="8">
        <v>11198.2</v>
      </c>
      <c r="M45" s="10">
        <v>0</v>
      </c>
      <c r="N45" s="8">
        <v>15205.82</v>
      </c>
      <c r="O45" s="8">
        <v>27029.759999999998</v>
      </c>
      <c r="P45" s="10">
        <v>0</v>
      </c>
      <c r="Q45" s="8">
        <v>4866.9399999999996</v>
      </c>
      <c r="R45" s="8">
        <v>5681.75</v>
      </c>
      <c r="S45" s="8">
        <v>8426.33</v>
      </c>
      <c r="T45" s="8">
        <v>2109.54</v>
      </c>
      <c r="U45" s="8">
        <v>3955.48</v>
      </c>
      <c r="V45" s="8">
        <v>22293.33</v>
      </c>
      <c r="W45" s="8">
        <v>34833.410000000003</v>
      </c>
      <c r="X45" s="8">
        <v>51722.76</v>
      </c>
      <c r="Y45" s="8">
        <v>44802.39</v>
      </c>
      <c r="Z45" s="10">
        <v>196.14</v>
      </c>
      <c r="AA45" s="33">
        <v>4673</v>
      </c>
      <c r="AB45" s="49">
        <v>10594</v>
      </c>
      <c r="AC45" s="10">
        <v>0</v>
      </c>
      <c r="AD45" s="8">
        <v>3730.9</v>
      </c>
      <c r="AE45" s="8">
        <v>5895.43</v>
      </c>
      <c r="AF45" s="8">
        <v>11168.45</v>
      </c>
      <c r="AG45" s="8">
        <v>8409.81</v>
      </c>
      <c r="AH45" s="8">
        <v>15870.83</v>
      </c>
      <c r="AI45" s="8">
        <v>3373.05</v>
      </c>
      <c r="AJ45" s="10">
        <v>624.02</v>
      </c>
      <c r="AK45" s="7">
        <v>0</v>
      </c>
    </row>
    <row r="46" spans="1:37" ht="15">
      <c r="A46" s="16">
        <v>45505</v>
      </c>
      <c r="B46" s="8">
        <v>38984.15</v>
      </c>
      <c r="C46" s="8">
        <v>13076.99</v>
      </c>
      <c r="D46" s="10">
        <v>0</v>
      </c>
      <c r="E46" s="8">
        <v>19217.099999999999</v>
      </c>
      <c r="F46" s="8">
        <v>14658.45</v>
      </c>
      <c r="G46" s="8">
        <v>7241.22</v>
      </c>
      <c r="H46" s="8">
        <v>5708.41</v>
      </c>
      <c r="I46" s="8">
        <v>8675.4699999999993</v>
      </c>
      <c r="J46" s="8">
        <v>11577.02</v>
      </c>
      <c r="K46" s="8">
        <v>9830.42</v>
      </c>
      <c r="L46" s="8">
        <v>12883.81</v>
      </c>
      <c r="M46" s="10">
        <v>0</v>
      </c>
      <c r="N46" s="8">
        <v>17573.240000000002</v>
      </c>
      <c r="O46" s="8">
        <v>31084.23</v>
      </c>
      <c r="P46" s="10">
        <v>0</v>
      </c>
      <c r="Q46" s="8">
        <v>5596.98</v>
      </c>
      <c r="R46" s="8">
        <v>6534.01</v>
      </c>
      <c r="S46" s="8">
        <v>9690.2800000000007</v>
      </c>
      <c r="T46" s="8">
        <v>2425.9699999999998</v>
      </c>
      <c r="U46" s="8">
        <v>4548.8100000000004</v>
      </c>
      <c r="V46" s="8">
        <v>25813.56</v>
      </c>
      <c r="W46" s="8">
        <v>40058.42</v>
      </c>
      <c r="X46" s="8">
        <v>59776.17</v>
      </c>
      <c r="Y46" s="8">
        <v>51614.97</v>
      </c>
      <c r="Z46" s="10">
        <v>225.58</v>
      </c>
      <c r="AA46" s="8">
        <v>4369.6000000000004</v>
      </c>
      <c r="AB46" s="49">
        <v>10568</v>
      </c>
      <c r="AC46" s="10">
        <v>0</v>
      </c>
      <c r="AD46" s="8">
        <v>4290.54</v>
      </c>
      <c r="AE46" s="8">
        <v>6779.75</v>
      </c>
      <c r="AF46" s="8">
        <v>12843.71</v>
      </c>
      <c r="AG46" s="8">
        <v>9706.16</v>
      </c>
      <c r="AH46" s="8">
        <v>18251.46</v>
      </c>
      <c r="AI46" s="8">
        <v>3879.01</v>
      </c>
      <c r="AJ46" s="10">
        <v>745.3</v>
      </c>
      <c r="AK46" s="7">
        <v>0</v>
      </c>
    </row>
    <row r="47" spans="1:37" ht="15">
      <c r="A47" s="16">
        <v>45536</v>
      </c>
      <c r="B47" s="8">
        <v>33933.300000000003</v>
      </c>
      <c r="C47" s="8">
        <v>11378.94</v>
      </c>
      <c r="D47" s="10">
        <v>0</v>
      </c>
      <c r="E47" s="8">
        <v>16710.580000000002</v>
      </c>
      <c r="F47" s="8">
        <v>12759.68</v>
      </c>
      <c r="G47" s="8">
        <v>6297.85</v>
      </c>
      <c r="H47" s="8">
        <v>4963.83</v>
      </c>
      <c r="I47" s="8">
        <v>7543.89</v>
      </c>
      <c r="J47" s="8">
        <v>10066.98</v>
      </c>
      <c r="K47" s="8">
        <v>8549.6200000000008</v>
      </c>
      <c r="L47" s="8">
        <v>11205.92</v>
      </c>
      <c r="M47" s="10">
        <v>0</v>
      </c>
      <c r="N47" s="8">
        <v>15292.37</v>
      </c>
      <c r="O47" s="8">
        <v>27029.759999999998</v>
      </c>
      <c r="P47" s="10">
        <v>0</v>
      </c>
      <c r="Q47" s="8">
        <v>4866.9399999999996</v>
      </c>
      <c r="R47" s="8">
        <v>5681.75</v>
      </c>
      <c r="S47" s="8">
        <v>8426.33</v>
      </c>
      <c r="T47" s="8">
        <v>2109.54</v>
      </c>
      <c r="U47" s="8">
        <v>3955.48</v>
      </c>
      <c r="V47" s="8">
        <v>22469.56</v>
      </c>
      <c r="W47" s="8">
        <v>34833.410000000003</v>
      </c>
      <c r="X47" s="8">
        <v>52017.760000000002</v>
      </c>
      <c r="Y47" s="8">
        <v>44894.62</v>
      </c>
      <c r="Z47" s="10">
        <v>196.16</v>
      </c>
      <c r="AA47" s="8">
        <v>3924.41</v>
      </c>
      <c r="AB47" s="49">
        <v>9607</v>
      </c>
      <c r="AC47" s="10">
        <v>0</v>
      </c>
      <c r="AD47" s="8">
        <v>3730.9</v>
      </c>
      <c r="AE47" s="8">
        <v>5895.43</v>
      </c>
      <c r="AF47" s="8">
        <v>11168.45</v>
      </c>
      <c r="AG47" s="8">
        <v>8444.69</v>
      </c>
      <c r="AH47" s="8">
        <v>15870.83</v>
      </c>
      <c r="AI47" s="8">
        <v>3373.05</v>
      </c>
      <c r="AJ47" s="10">
        <v>648.08000000000004</v>
      </c>
      <c r="AK47" s="7">
        <v>0</v>
      </c>
    </row>
    <row r="48" spans="1:37" ht="15">
      <c r="A48" s="16">
        <v>45566</v>
      </c>
      <c r="B48" s="8">
        <v>36961.72</v>
      </c>
      <c r="C48" s="8">
        <v>13204.94</v>
      </c>
      <c r="D48" s="10">
        <v>0</v>
      </c>
      <c r="E48" s="8">
        <v>20466.96</v>
      </c>
      <c r="F48" s="8">
        <v>15526.23</v>
      </c>
      <c r="G48" s="8">
        <v>8072.14</v>
      </c>
      <c r="H48" s="8">
        <v>5596.03</v>
      </c>
      <c r="I48" s="8">
        <v>8298.27</v>
      </c>
      <c r="J48" s="8">
        <v>10702.7</v>
      </c>
      <c r="K48" s="8">
        <v>9392.57</v>
      </c>
      <c r="L48" s="8">
        <v>12321.18</v>
      </c>
      <c r="M48" s="10">
        <v>0</v>
      </c>
      <c r="N48" s="8">
        <v>17376.93</v>
      </c>
      <c r="O48" s="8">
        <v>30601.23</v>
      </c>
      <c r="P48" s="10">
        <v>0</v>
      </c>
      <c r="Q48" s="8">
        <v>5619.5</v>
      </c>
      <c r="R48" s="8">
        <v>6129.52</v>
      </c>
      <c r="S48" s="8">
        <v>9268.9699999999993</v>
      </c>
      <c r="T48" s="8">
        <v>2361.8200000000002</v>
      </c>
      <c r="U48" s="8">
        <v>4853.1499999999996</v>
      </c>
      <c r="V48" s="8">
        <v>25434.7</v>
      </c>
      <c r="W48" s="8">
        <v>39480.68</v>
      </c>
      <c r="X48" s="8">
        <v>58339.61</v>
      </c>
      <c r="Y48" s="8">
        <v>50408.05</v>
      </c>
      <c r="Z48" s="10">
        <v>215.77</v>
      </c>
      <c r="AA48" s="8">
        <v>4672</v>
      </c>
      <c r="AB48" s="49">
        <v>11048</v>
      </c>
      <c r="AC48" s="10">
        <v>0</v>
      </c>
      <c r="AD48" s="8">
        <v>5366.76</v>
      </c>
      <c r="AE48" s="8">
        <v>6484.97</v>
      </c>
      <c r="AF48" s="8">
        <v>12285.29</v>
      </c>
      <c r="AG48" s="8">
        <v>9279.86</v>
      </c>
      <c r="AH48" s="8">
        <v>18321.849999999999</v>
      </c>
      <c r="AI48" s="8">
        <v>3710.35</v>
      </c>
      <c r="AJ48" s="10">
        <v>668.77</v>
      </c>
      <c r="AK48" s="7">
        <v>0</v>
      </c>
    </row>
    <row r="49" spans="1:37" ht="15">
      <c r="A49" s="16">
        <v>45597</v>
      </c>
      <c r="B49" s="8">
        <v>35333.83</v>
      </c>
      <c r="C49" s="8">
        <v>12616.7</v>
      </c>
      <c r="D49" s="10">
        <v>0</v>
      </c>
      <c r="E49" s="8">
        <v>19536.349999999999</v>
      </c>
      <c r="F49" s="8">
        <v>14840.02</v>
      </c>
      <c r="G49" s="8">
        <v>7707</v>
      </c>
      <c r="H49" s="8">
        <v>5341.67</v>
      </c>
      <c r="I49" s="8">
        <v>7921.55</v>
      </c>
      <c r="J49" s="8">
        <v>10216.209999999999</v>
      </c>
      <c r="K49" s="8">
        <v>8965.64</v>
      </c>
      <c r="L49" s="8">
        <v>11765.22</v>
      </c>
      <c r="M49" s="10">
        <v>0</v>
      </c>
      <c r="N49" s="8">
        <v>16604.78</v>
      </c>
      <c r="O49" s="8">
        <v>29221.17</v>
      </c>
      <c r="P49" s="10">
        <v>0</v>
      </c>
      <c r="Q49" s="8">
        <v>5364.07</v>
      </c>
      <c r="R49" s="8">
        <v>5850.91</v>
      </c>
      <c r="S49" s="8">
        <v>8572.25</v>
      </c>
      <c r="T49" s="8">
        <v>2254.4699999999998</v>
      </c>
      <c r="U49" s="8">
        <v>4632.5600000000004</v>
      </c>
      <c r="V49" s="8">
        <v>24314.34</v>
      </c>
      <c r="W49" s="8">
        <v>37686.11</v>
      </c>
      <c r="X49" s="8">
        <v>55748.15</v>
      </c>
      <c r="Y49" s="8">
        <v>48135.64</v>
      </c>
      <c r="Z49" s="10">
        <v>205.96</v>
      </c>
      <c r="AA49" s="8">
        <v>4460.74</v>
      </c>
      <c r="AB49" s="49">
        <v>9607</v>
      </c>
      <c r="AC49" s="10">
        <v>0</v>
      </c>
      <c r="AD49" s="8">
        <v>5122.8100000000004</v>
      </c>
      <c r="AE49" s="8">
        <v>6190.2</v>
      </c>
      <c r="AF49" s="8">
        <v>11726.87</v>
      </c>
      <c r="AG49" s="8">
        <v>8865.18</v>
      </c>
      <c r="AH49" s="8">
        <v>17370.11</v>
      </c>
      <c r="AI49" s="8">
        <v>3541.7</v>
      </c>
      <c r="AJ49" s="10">
        <v>638.37</v>
      </c>
      <c r="AK49" s="7">
        <v>0</v>
      </c>
    </row>
    <row r="50" spans="1:37" ht="15">
      <c r="A50" s="16">
        <v>45627</v>
      </c>
      <c r="B50" s="8">
        <v>33593.43</v>
      </c>
      <c r="C50" s="8">
        <v>12003.5</v>
      </c>
      <c r="D50" s="10">
        <v>0</v>
      </c>
      <c r="E50" s="8">
        <v>18606</v>
      </c>
      <c r="F50" s="8">
        <v>14111.24</v>
      </c>
      <c r="G50" s="8">
        <v>7339.93</v>
      </c>
      <c r="H50" s="8">
        <v>5087.3</v>
      </c>
      <c r="I50" s="8">
        <v>7544.41</v>
      </c>
      <c r="J50" s="8">
        <v>9729.73</v>
      </c>
      <c r="K50" s="8">
        <v>8538.7000000000007</v>
      </c>
      <c r="L50" s="8">
        <v>11201.48</v>
      </c>
      <c r="M50" s="10">
        <v>0</v>
      </c>
      <c r="N50" s="8">
        <v>15797.44</v>
      </c>
      <c r="O50" s="8">
        <v>27831.42</v>
      </c>
      <c r="P50" s="10">
        <v>0</v>
      </c>
      <c r="Q50" s="8">
        <v>5108.6400000000003</v>
      </c>
      <c r="R50" s="8">
        <v>5572.3</v>
      </c>
      <c r="S50" s="8">
        <v>8120.33</v>
      </c>
      <c r="T50" s="8">
        <v>2147.11</v>
      </c>
      <c r="U50" s="8">
        <v>4411.96</v>
      </c>
      <c r="V50" s="8">
        <v>23140.65</v>
      </c>
      <c r="W50" s="8">
        <v>35891.53</v>
      </c>
      <c r="X50" s="8">
        <v>53053.77</v>
      </c>
      <c r="Y50" s="8">
        <v>45836.85</v>
      </c>
      <c r="Z50" s="10">
        <v>196.16</v>
      </c>
      <c r="AA50" s="8">
        <v>4248.5</v>
      </c>
      <c r="AB50" s="49">
        <v>10087</v>
      </c>
      <c r="AC50" s="10">
        <v>0</v>
      </c>
      <c r="AD50" s="8">
        <v>4878.87</v>
      </c>
      <c r="AE50" s="8">
        <v>5895.43</v>
      </c>
      <c r="AF50" s="8">
        <v>11168.45</v>
      </c>
      <c r="AG50" s="8">
        <v>8428.31</v>
      </c>
      <c r="AH50" s="8">
        <v>16482.189999999999</v>
      </c>
      <c r="AI50" s="8">
        <v>3373.05</v>
      </c>
      <c r="AJ50" s="10">
        <v>607.97</v>
      </c>
      <c r="AK50" s="7">
        <v>0</v>
      </c>
    </row>
    <row r="54" spans="1:37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37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37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7"/>
      <c r="R56" s="7"/>
      <c r="S56" s="7"/>
    </row>
    <row r="57" spans="1:3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37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37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37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37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37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37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37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2:19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7"/>
      <c r="R65" s="7"/>
      <c r="S65" s="7"/>
    </row>
    <row r="66" spans="2:19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2:19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2:19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7"/>
      <c r="R68" s="7"/>
      <c r="S68" s="7"/>
    </row>
    <row r="69" spans="2:19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2:19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2:19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2:19">
      <c r="B72" s="7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2:19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2:19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2:19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2:19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2:19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2:19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2:1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2:19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2:19">
      <c r="B81" s="6"/>
      <c r="C81" s="6"/>
      <c r="D81" s="6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2:19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6"/>
      <c r="S82" s="6"/>
    </row>
    <row r="83" spans="2:19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2:19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2:19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6"/>
      <c r="S85" s="6"/>
    </row>
    <row r="86" spans="2:19">
      <c r="B86" s="7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2:19">
      <c r="B87" s="7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2:19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2:19">
      <c r="B89" s="6"/>
      <c r="C89" s="6"/>
      <c r="D89" s="6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59D5-3FA1-4238-80BF-C7835FA01B68}">
  <dimension ref="A1:AM198"/>
  <sheetViews>
    <sheetView topLeftCell="A116" workbookViewId="0">
      <pane xSplit="1" topLeftCell="B1" activePane="topRight" state="frozen"/>
      <selection pane="topRight" activeCell="AG12" sqref="AG12"/>
    </sheetView>
  </sheetViews>
  <sheetFormatPr defaultRowHeight="14.25"/>
  <sheetData>
    <row r="1" spans="1:39">
      <c r="B1" s="65" t="s">
        <v>5</v>
      </c>
      <c r="C1" s="65"/>
      <c r="D1" s="65"/>
      <c r="E1" s="65"/>
      <c r="F1" s="65"/>
      <c r="G1" s="65"/>
      <c r="H1" s="65"/>
    </row>
    <row r="2" spans="1:39">
      <c r="B2" s="65"/>
      <c r="C2" s="65"/>
      <c r="D2" s="65"/>
      <c r="E2" s="65"/>
      <c r="F2" s="65"/>
      <c r="G2" s="65"/>
      <c r="H2" s="65"/>
    </row>
    <row r="3" spans="1:39" ht="15">
      <c r="A3" s="24" t="s">
        <v>1</v>
      </c>
      <c r="B3" s="29">
        <v>3</v>
      </c>
      <c r="C3" s="29">
        <v>4</v>
      </c>
      <c r="D3" s="29">
        <v>5</v>
      </c>
      <c r="E3" s="34">
        <v>6</v>
      </c>
      <c r="F3" s="29">
        <v>7</v>
      </c>
      <c r="G3" s="29">
        <v>8</v>
      </c>
      <c r="H3" s="38">
        <v>9</v>
      </c>
      <c r="I3" s="29">
        <v>14</v>
      </c>
      <c r="J3" s="29">
        <v>17</v>
      </c>
      <c r="K3" s="29">
        <v>18</v>
      </c>
      <c r="L3" s="29">
        <v>19</v>
      </c>
      <c r="M3" s="34">
        <v>21</v>
      </c>
      <c r="N3" s="29">
        <v>22</v>
      </c>
      <c r="O3" s="29">
        <v>23</v>
      </c>
      <c r="P3" s="34">
        <v>25</v>
      </c>
      <c r="Q3" s="29">
        <v>28</v>
      </c>
      <c r="R3" s="29">
        <v>29</v>
      </c>
      <c r="S3" s="29">
        <v>34</v>
      </c>
      <c r="T3" s="38">
        <v>41</v>
      </c>
      <c r="U3" s="29">
        <v>42</v>
      </c>
      <c r="V3" s="29">
        <v>50</v>
      </c>
      <c r="W3" s="29">
        <v>52</v>
      </c>
      <c r="X3" s="29">
        <v>55</v>
      </c>
      <c r="Y3" s="29">
        <v>56</v>
      </c>
      <c r="Z3" s="38">
        <v>64</v>
      </c>
      <c r="AA3" s="34">
        <v>70</v>
      </c>
      <c r="AB3" s="50">
        <v>71</v>
      </c>
      <c r="AC3" s="29">
        <v>72</v>
      </c>
      <c r="AD3" s="34">
        <v>75</v>
      </c>
      <c r="AE3" s="29">
        <v>76</v>
      </c>
      <c r="AF3" s="34">
        <v>77</v>
      </c>
      <c r="AG3" s="34">
        <v>79</v>
      </c>
      <c r="AH3" s="34">
        <v>84</v>
      </c>
      <c r="AI3" s="34">
        <v>86</v>
      </c>
      <c r="AJ3" s="38">
        <v>93</v>
      </c>
      <c r="AK3" s="38">
        <v>96</v>
      </c>
      <c r="AL3" s="4">
        <v>97</v>
      </c>
      <c r="AM3" s="4" t="s">
        <v>2</v>
      </c>
    </row>
    <row r="4" spans="1:39" ht="15">
      <c r="A4" s="1" t="s">
        <v>0</v>
      </c>
    </row>
    <row r="5" spans="1:39" ht="15">
      <c r="A5" s="16">
        <v>44197</v>
      </c>
      <c r="B5" s="5">
        <v>4293.96</v>
      </c>
      <c r="C5" s="5">
        <v>4813.5</v>
      </c>
      <c r="D5" s="5">
        <v>6713.76</v>
      </c>
      <c r="E5" s="5">
        <v>2111.58</v>
      </c>
      <c r="F5" s="5">
        <v>3219.42</v>
      </c>
      <c r="G5" s="5">
        <v>2148.66</v>
      </c>
      <c r="H5" s="37">
        <v>0</v>
      </c>
      <c r="I5" s="5">
        <v>2786.04</v>
      </c>
      <c r="J5" s="5">
        <v>2779.86</v>
      </c>
      <c r="K5" s="5">
        <v>3837</v>
      </c>
      <c r="L5" s="5">
        <v>3891.48</v>
      </c>
      <c r="M5" s="5">
        <v>1995.6</v>
      </c>
      <c r="N5" s="5">
        <v>5287.2</v>
      </c>
      <c r="O5" s="5">
        <v>5102.9400000000005</v>
      </c>
      <c r="P5" s="5">
        <v>3354.42</v>
      </c>
      <c r="Q5" s="5">
        <v>2113.08</v>
      </c>
      <c r="R5" s="5">
        <v>2536.62</v>
      </c>
      <c r="S5" s="5">
        <v>4160.3999999999996</v>
      </c>
      <c r="T5" s="45">
        <v>0</v>
      </c>
      <c r="U5" s="5">
        <v>1459.1399999999999</v>
      </c>
      <c r="V5" s="5">
        <v>6611.82</v>
      </c>
      <c r="W5" s="5">
        <v>11173.560000000001</v>
      </c>
      <c r="X5" s="5">
        <v>14565.3</v>
      </c>
      <c r="Y5" s="5">
        <v>13217.94</v>
      </c>
      <c r="Z5" s="5">
        <v>0</v>
      </c>
      <c r="AA5" s="5">
        <v>0</v>
      </c>
      <c r="AB5" s="5">
        <v>0</v>
      </c>
      <c r="AC5" s="5">
        <v>1065.8399999999999</v>
      </c>
      <c r="AD5" s="5">
        <v>0</v>
      </c>
      <c r="AE5" s="5">
        <v>1411.44</v>
      </c>
      <c r="AF5" s="5">
        <v>475.74</v>
      </c>
      <c r="AG5" s="5">
        <v>0</v>
      </c>
      <c r="AH5" s="37">
        <v>0</v>
      </c>
      <c r="AI5" s="37">
        <v>0</v>
      </c>
      <c r="AJ5" s="45">
        <v>0</v>
      </c>
      <c r="AK5" s="45">
        <v>0</v>
      </c>
      <c r="AL5" s="5">
        <v>0</v>
      </c>
    </row>
    <row r="6" spans="1:39" ht="15">
      <c r="A6" s="16">
        <v>44228</v>
      </c>
      <c r="B6" s="5">
        <v>2862.6400000000003</v>
      </c>
      <c r="C6" s="5">
        <v>3209</v>
      </c>
      <c r="D6" s="5">
        <v>4475.84</v>
      </c>
      <c r="E6" s="5">
        <v>1407.72</v>
      </c>
      <c r="F6" s="5">
        <v>2146.2799999999997</v>
      </c>
      <c r="G6" s="5">
        <v>1432.44</v>
      </c>
      <c r="H6" s="37">
        <v>0</v>
      </c>
      <c r="I6" s="5">
        <v>1857.3600000000001</v>
      </c>
      <c r="J6" s="5">
        <v>1853.24</v>
      </c>
      <c r="K6" s="5">
        <v>2558</v>
      </c>
      <c r="L6" s="5">
        <v>2594.3199999999997</v>
      </c>
      <c r="M6" s="5">
        <v>1330.4</v>
      </c>
      <c r="N6" s="5">
        <v>3524.8</v>
      </c>
      <c r="O6" s="5">
        <v>3401.96</v>
      </c>
      <c r="P6" s="5">
        <v>2236.2799999999997</v>
      </c>
      <c r="Q6" s="5">
        <v>1408.72</v>
      </c>
      <c r="R6" s="5">
        <v>1691.08</v>
      </c>
      <c r="S6" s="5">
        <v>2773.6</v>
      </c>
      <c r="T6" s="45">
        <v>0</v>
      </c>
      <c r="U6" s="5">
        <v>972.76</v>
      </c>
      <c r="V6" s="5">
        <v>4407.88</v>
      </c>
      <c r="W6" s="5">
        <v>7449.04</v>
      </c>
      <c r="X6" s="5">
        <v>9710.2000000000007</v>
      </c>
      <c r="Y6" s="5">
        <v>8811.9599999999991</v>
      </c>
      <c r="Z6" s="5">
        <v>0</v>
      </c>
      <c r="AA6" s="5">
        <v>0</v>
      </c>
      <c r="AB6" s="5">
        <v>0</v>
      </c>
      <c r="AC6" s="5">
        <v>710.56</v>
      </c>
      <c r="AD6" s="5">
        <v>0</v>
      </c>
      <c r="AE6" s="5">
        <v>940.96</v>
      </c>
      <c r="AF6" s="5">
        <v>317.16000000000003</v>
      </c>
      <c r="AG6" s="5">
        <v>0</v>
      </c>
      <c r="AH6" s="37">
        <v>0</v>
      </c>
      <c r="AI6" s="37">
        <v>0</v>
      </c>
      <c r="AJ6" s="45">
        <v>0</v>
      </c>
      <c r="AK6" s="45">
        <v>0</v>
      </c>
      <c r="AL6" s="5">
        <v>0</v>
      </c>
    </row>
    <row r="7" spans="1:39" ht="15">
      <c r="A7" s="16">
        <v>44256</v>
      </c>
      <c r="B7" s="5">
        <v>2862.6400000000003</v>
      </c>
      <c r="C7" s="5">
        <v>3209</v>
      </c>
      <c r="D7" s="5">
        <v>4475.84</v>
      </c>
      <c r="E7" s="5">
        <v>1407.72</v>
      </c>
      <c r="F7" s="5">
        <v>2146.2799999999997</v>
      </c>
      <c r="G7" s="5">
        <v>1432.44</v>
      </c>
      <c r="H7" s="37">
        <v>0</v>
      </c>
      <c r="I7" s="5">
        <v>1857.3600000000001</v>
      </c>
      <c r="J7" s="5">
        <v>1853.24</v>
      </c>
      <c r="K7" s="5">
        <v>2558</v>
      </c>
      <c r="L7" s="5">
        <v>2594.3199999999997</v>
      </c>
      <c r="M7" s="5">
        <v>1330.4</v>
      </c>
      <c r="N7" s="5">
        <v>3524.8</v>
      </c>
      <c r="O7" s="5">
        <v>3401.96</v>
      </c>
      <c r="P7" s="5">
        <v>2236.2799999999997</v>
      </c>
      <c r="Q7" s="5">
        <v>1408.72</v>
      </c>
      <c r="R7" s="5">
        <v>1691.08</v>
      </c>
      <c r="S7" s="5">
        <v>2773.6</v>
      </c>
      <c r="T7" s="45">
        <v>0</v>
      </c>
      <c r="U7" s="5">
        <v>972.76</v>
      </c>
      <c r="V7" s="5">
        <v>4407.88</v>
      </c>
      <c r="W7" s="5">
        <v>7449.04</v>
      </c>
      <c r="X7" s="5">
        <v>9710.2000000000007</v>
      </c>
      <c r="Y7" s="5">
        <v>8811.9599999999991</v>
      </c>
      <c r="Z7" s="5">
        <v>0</v>
      </c>
      <c r="AA7" s="5">
        <v>0</v>
      </c>
      <c r="AB7" s="5">
        <v>0</v>
      </c>
      <c r="AC7" s="5">
        <v>710.56</v>
      </c>
      <c r="AD7" s="5">
        <v>0</v>
      </c>
      <c r="AE7" s="5">
        <v>940.96</v>
      </c>
      <c r="AF7" s="5">
        <v>317.16000000000003</v>
      </c>
      <c r="AG7" s="5">
        <v>0</v>
      </c>
      <c r="AH7" s="37">
        <v>0</v>
      </c>
      <c r="AI7" s="37">
        <v>0</v>
      </c>
      <c r="AJ7" s="45">
        <v>0</v>
      </c>
      <c r="AK7" s="45">
        <v>0</v>
      </c>
      <c r="AL7" s="5">
        <v>0</v>
      </c>
    </row>
    <row r="8" spans="1:39" ht="15">
      <c r="A8" s="16">
        <v>44287</v>
      </c>
      <c r="B8" s="5">
        <v>2862.6400000000003</v>
      </c>
      <c r="C8" s="5">
        <v>3209</v>
      </c>
      <c r="D8" s="5">
        <v>4475.84</v>
      </c>
      <c r="E8" s="5">
        <v>2463.5100000000002</v>
      </c>
      <c r="F8" s="5">
        <v>2146.2799999999997</v>
      </c>
      <c r="G8" s="5">
        <v>1432.44</v>
      </c>
      <c r="H8" s="37">
        <v>0</v>
      </c>
      <c r="I8" s="5">
        <v>1857.3600000000001</v>
      </c>
      <c r="J8" s="5">
        <v>1853.24</v>
      </c>
      <c r="K8" s="5">
        <v>2558</v>
      </c>
      <c r="L8" s="5">
        <v>2594.3199999999997</v>
      </c>
      <c r="M8" s="5">
        <v>948.24</v>
      </c>
      <c r="N8" s="5">
        <v>3524.8</v>
      </c>
      <c r="O8" s="5">
        <v>4762.3999999999996</v>
      </c>
      <c r="P8" s="5">
        <v>1218.49</v>
      </c>
      <c r="Q8" s="5">
        <v>1408.72</v>
      </c>
      <c r="R8" s="5">
        <v>1691.08</v>
      </c>
      <c r="S8" s="5">
        <v>3113.7799999999997</v>
      </c>
      <c r="T8" s="45">
        <v>0</v>
      </c>
      <c r="U8" s="5">
        <v>972.76</v>
      </c>
      <c r="V8" s="5">
        <v>4407.88</v>
      </c>
      <c r="W8" s="5">
        <v>7446.1</v>
      </c>
      <c r="X8" s="5">
        <v>9697.33</v>
      </c>
      <c r="Y8" s="5">
        <v>8811.9599999999991</v>
      </c>
      <c r="Z8" s="5">
        <v>0</v>
      </c>
      <c r="AA8" s="5">
        <v>0</v>
      </c>
      <c r="AB8" s="5">
        <v>0</v>
      </c>
      <c r="AC8" s="5">
        <v>355.28</v>
      </c>
      <c r="AD8" s="5">
        <v>0</v>
      </c>
      <c r="AE8" s="5">
        <v>940.96</v>
      </c>
      <c r="AF8" s="5">
        <v>466.9</v>
      </c>
      <c r="AG8" s="5">
        <v>0</v>
      </c>
      <c r="AH8" s="37">
        <v>0</v>
      </c>
      <c r="AI8" s="37">
        <v>0</v>
      </c>
      <c r="AJ8" s="45">
        <v>0</v>
      </c>
      <c r="AK8" s="45">
        <v>0</v>
      </c>
      <c r="AL8" s="5">
        <v>0</v>
      </c>
    </row>
    <row r="9" spans="1:39" ht="15">
      <c r="A9" s="16">
        <v>44317</v>
      </c>
      <c r="B9" s="5">
        <v>3921.16</v>
      </c>
      <c r="C9" s="5">
        <v>4404.1499999999996</v>
      </c>
      <c r="D9" s="5">
        <v>6147.83</v>
      </c>
      <c r="E9" s="5">
        <v>3871.23</v>
      </c>
      <c r="F9" s="5">
        <v>2945.5299999999997</v>
      </c>
      <c r="G9" s="5">
        <v>1964.1799999999998</v>
      </c>
      <c r="H9" s="37">
        <v>0</v>
      </c>
      <c r="I9" s="5">
        <v>2526.1800000000003</v>
      </c>
      <c r="J9" s="5">
        <v>2495.2399999999998</v>
      </c>
      <c r="K9" s="5">
        <v>3517.25</v>
      </c>
      <c r="L9" s="5">
        <v>3553.6800000000003</v>
      </c>
      <c r="M9" s="5">
        <v>707.6</v>
      </c>
      <c r="N9" s="5">
        <v>4805.1000000000004</v>
      </c>
      <c r="O9" s="5">
        <v>7665.05</v>
      </c>
      <c r="P9" s="5">
        <v>931.8</v>
      </c>
      <c r="Q9" s="5">
        <v>1931.65</v>
      </c>
      <c r="R9" s="5">
        <v>2318.63</v>
      </c>
      <c r="S9" s="5">
        <v>4485.29</v>
      </c>
      <c r="T9" s="45">
        <v>0</v>
      </c>
      <c r="U9" s="5">
        <v>1332.6</v>
      </c>
      <c r="V9" s="5">
        <v>5883.1</v>
      </c>
      <c r="W9" s="5">
        <v>10215.83</v>
      </c>
      <c r="X9" s="5">
        <v>13296.76</v>
      </c>
      <c r="Y9" s="5">
        <v>12092.5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1293.8200000000002</v>
      </c>
      <c r="AF9" s="5">
        <v>770.8</v>
      </c>
      <c r="AG9" s="5">
        <v>0</v>
      </c>
      <c r="AH9" s="37">
        <v>0</v>
      </c>
      <c r="AI9" s="37">
        <v>0</v>
      </c>
      <c r="AJ9" s="45">
        <v>0</v>
      </c>
      <c r="AK9" s="5">
        <v>0</v>
      </c>
      <c r="AL9" s="5">
        <v>0</v>
      </c>
    </row>
    <row r="10" spans="1:39" ht="15">
      <c r="A10" s="16">
        <v>44348</v>
      </c>
      <c r="B10" s="5">
        <v>2862.6400000000003</v>
      </c>
      <c r="C10" s="5">
        <v>3209</v>
      </c>
      <c r="D10" s="5">
        <v>4475.84</v>
      </c>
      <c r="E10" s="5">
        <v>2815.44</v>
      </c>
      <c r="F10" s="5">
        <v>2146.2799999999997</v>
      </c>
      <c r="G10" s="5">
        <v>1432.44</v>
      </c>
      <c r="H10" s="37">
        <v>0</v>
      </c>
      <c r="I10" s="5">
        <v>1857.3600000000001</v>
      </c>
      <c r="J10" s="5">
        <v>1853.24</v>
      </c>
      <c r="K10" s="5">
        <v>2558</v>
      </c>
      <c r="L10" s="5">
        <v>2594.3199999999997</v>
      </c>
      <c r="M10" s="5">
        <v>566.08000000000004</v>
      </c>
      <c r="N10" s="5">
        <v>3524.8</v>
      </c>
      <c r="O10" s="5">
        <v>5583.6</v>
      </c>
      <c r="P10" s="5">
        <v>745.44</v>
      </c>
      <c r="Q10" s="5">
        <v>1408.72</v>
      </c>
      <c r="R10" s="5">
        <v>1691.08</v>
      </c>
      <c r="S10" s="5">
        <v>3271.04</v>
      </c>
      <c r="T10" s="45">
        <v>0</v>
      </c>
      <c r="U10" s="5">
        <v>972.76</v>
      </c>
      <c r="V10" s="5">
        <v>4407.88</v>
      </c>
      <c r="W10" s="5">
        <v>7444.32</v>
      </c>
      <c r="X10" s="5">
        <v>9689.52</v>
      </c>
      <c r="Y10" s="5">
        <v>8811.9599999999991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940.96</v>
      </c>
      <c r="AF10" s="5">
        <v>616.64</v>
      </c>
      <c r="AG10" s="5">
        <v>0</v>
      </c>
      <c r="AH10" s="37">
        <v>0</v>
      </c>
      <c r="AI10" s="37">
        <v>0</v>
      </c>
      <c r="AJ10" s="45">
        <v>0</v>
      </c>
      <c r="AK10" s="5">
        <v>0</v>
      </c>
      <c r="AL10" s="5">
        <v>0</v>
      </c>
    </row>
    <row r="11" spans="1:39" ht="15">
      <c r="A11" s="16">
        <v>44378</v>
      </c>
      <c r="B11" s="5">
        <v>3578.3</v>
      </c>
      <c r="C11" s="5">
        <v>4011.25</v>
      </c>
      <c r="D11" s="5">
        <v>5594.8</v>
      </c>
      <c r="E11" s="5">
        <v>3519.3</v>
      </c>
      <c r="F11" s="5">
        <v>2682.8500000000004</v>
      </c>
      <c r="G11" s="5">
        <v>1790.55</v>
      </c>
      <c r="H11" s="37">
        <v>0</v>
      </c>
      <c r="I11" s="5">
        <v>2321.6999999999998</v>
      </c>
      <c r="J11" s="5">
        <v>2316.5500000000002</v>
      </c>
      <c r="K11" s="5">
        <v>3197.5</v>
      </c>
      <c r="L11" s="5">
        <v>3242.9</v>
      </c>
      <c r="M11" s="5">
        <v>707.6</v>
      </c>
      <c r="N11" s="5">
        <v>4406</v>
      </c>
      <c r="O11" s="5">
        <v>6979.5</v>
      </c>
      <c r="P11" s="5">
        <v>931.8</v>
      </c>
      <c r="Q11" s="5">
        <v>1760.9</v>
      </c>
      <c r="R11" s="5">
        <v>2113.85</v>
      </c>
      <c r="S11" s="5">
        <v>4088.8</v>
      </c>
      <c r="T11" s="45">
        <v>0</v>
      </c>
      <c r="U11" s="5">
        <v>1215.95</v>
      </c>
      <c r="V11" s="5">
        <v>5509.85</v>
      </c>
      <c r="W11" s="5">
        <v>9305.4</v>
      </c>
      <c r="X11" s="5">
        <v>12111.900000000001</v>
      </c>
      <c r="Y11" s="5">
        <v>11014.95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1176.2</v>
      </c>
      <c r="AF11" s="5">
        <v>770.8</v>
      </c>
      <c r="AG11" s="5">
        <v>0</v>
      </c>
      <c r="AH11" s="37">
        <v>0</v>
      </c>
      <c r="AI11" s="37">
        <v>0</v>
      </c>
      <c r="AJ11" s="45">
        <v>0</v>
      </c>
      <c r="AK11" s="5">
        <v>0</v>
      </c>
      <c r="AL11" s="5">
        <v>0</v>
      </c>
    </row>
    <row r="12" spans="1:39" ht="15">
      <c r="A12" s="16">
        <v>44409</v>
      </c>
      <c r="B12" s="5">
        <v>3205.5</v>
      </c>
      <c r="C12" s="5">
        <v>3601.9</v>
      </c>
      <c r="D12" s="5">
        <v>5028.87</v>
      </c>
      <c r="E12" s="5">
        <v>3167.37</v>
      </c>
      <c r="F12" s="5">
        <v>2408.96</v>
      </c>
      <c r="G12" s="5">
        <v>1606.07</v>
      </c>
      <c r="H12" s="37">
        <v>0</v>
      </c>
      <c r="I12" s="5">
        <v>2061.84</v>
      </c>
      <c r="J12" s="5">
        <v>2031.93</v>
      </c>
      <c r="K12" s="5">
        <v>2877.75</v>
      </c>
      <c r="L12" s="5">
        <v>2905.1000000000004</v>
      </c>
      <c r="M12" s="5">
        <v>566.08000000000004</v>
      </c>
      <c r="N12" s="5">
        <v>3923.9</v>
      </c>
      <c r="O12" s="5">
        <v>6269.15</v>
      </c>
      <c r="P12" s="5">
        <v>745.44</v>
      </c>
      <c r="Q12" s="5">
        <v>1579.47</v>
      </c>
      <c r="R12" s="5">
        <v>1895.8600000000001</v>
      </c>
      <c r="S12" s="5">
        <v>3667.5299999999997</v>
      </c>
      <c r="T12" s="45">
        <v>0</v>
      </c>
      <c r="U12" s="5">
        <v>1089.4100000000001</v>
      </c>
      <c r="V12" s="5">
        <v>4781.13</v>
      </c>
      <c r="W12" s="5">
        <v>8354.75</v>
      </c>
      <c r="X12" s="5">
        <v>10874.380000000001</v>
      </c>
      <c r="Y12" s="5">
        <v>9889.51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1058.58</v>
      </c>
      <c r="AF12" s="5">
        <v>616.64</v>
      </c>
      <c r="AG12" s="5">
        <v>0</v>
      </c>
      <c r="AH12" s="37">
        <v>0</v>
      </c>
      <c r="AI12" s="37">
        <v>0</v>
      </c>
      <c r="AJ12" s="45">
        <v>0</v>
      </c>
      <c r="AK12" s="5">
        <v>0</v>
      </c>
      <c r="AL12" s="5">
        <v>0</v>
      </c>
    </row>
    <row r="13" spans="1:39" ht="15">
      <c r="A13" s="16">
        <v>44440</v>
      </c>
      <c r="B13" s="5">
        <v>3205.5</v>
      </c>
      <c r="C13" s="5">
        <v>3601.9</v>
      </c>
      <c r="D13" s="5">
        <v>5028.87</v>
      </c>
      <c r="E13" s="5">
        <v>3167.37</v>
      </c>
      <c r="F13" s="5">
        <v>2408.96</v>
      </c>
      <c r="G13" s="5">
        <v>1606.07</v>
      </c>
      <c r="H13" s="37">
        <v>0</v>
      </c>
      <c r="I13" s="5">
        <v>2061.84</v>
      </c>
      <c r="J13" s="5">
        <v>2031.93</v>
      </c>
      <c r="K13" s="5">
        <v>2877.75</v>
      </c>
      <c r="L13" s="5">
        <v>2905.1000000000004</v>
      </c>
      <c r="M13" s="5">
        <v>566.08000000000004</v>
      </c>
      <c r="N13" s="5">
        <v>3923.9</v>
      </c>
      <c r="O13" s="5">
        <v>6269.15</v>
      </c>
      <c r="P13" s="5">
        <v>745.44</v>
      </c>
      <c r="Q13" s="5">
        <v>1579.47</v>
      </c>
      <c r="R13" s="5">
        <v>1895.8600000000001</v>
      </c>
      <c r="S13" s="5">
        <v>3667.5299999999997</v>
      </c>
      <c r="T13" s="45">
        <v>0</v>
      </c>
      <c r="U13" s="5">
        <v>1089.4100000000001</v>
      </c>
      <c r="V13" s="5">
        <v>4781.13</v>
      </c>
      <c r="W13" s="5">
        <v>8354.75</v>
      </c>
      <c r="X13" s="5">
        <v>10874.380000000001</v>
      </c>
      <c r="Y13" s="5">
        <v>9889.51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1058.58</v>
      </c>
      <c r="AF13" s="5">
        <v>616.64</v>
      </c>
      <c r="AG13" s="5">
        <v>0</v>
      </c>
      <c r="AH13" s="37">
        <v>0</v>
      </c>
      <c r="AI13" s="37">
        <v>0</v>
      </c>
      <c r="AJ13" s="45">
        <v>0</v>
      </c>
      <c r="AK13" s="5">
        <v>0</v>
      </c>
      <c r="AL13" s="5">
        <v>0</v>
      </c>
    </row>
    <row r="14" spans="1:39" ht="15">
      <c r="A14" s="16">
        <v>44470</v>
      </c>
      <c r="B14" s="5">
        <v>3764.54</v>
      </c>
      <c r="C14" s="5">
        <v>4342.8599999999997</v>
      </c>
      <c r="D14" s="5">
        <v>6309.82</v>
      </c>
      <c r="E14" s="5">
        <v>3609.66</v>
      </c>
      <c r="F14" s="5">
        <v>2864.82</v>
      </c>
      <c r="G14" s="5">
        <v>2009.5700000000002</v>
      </c>
      <c r="H14" s="37">
        <v>0</v>
      </c>
      <c r="I14" s="5">
        <v>2861.15</v>
      </c>
      <c r="J14" s="5">
        <v>2517.52</v>
      </c>
      <c r="K14" s="5">
        <v>3431.87</v>
      </c>
      <c r="L14" s="5">
        <v>3522.4700000000003</v>
      </c>
      <c r="M14" s="5">
        <v>707.6</v>
      </c>
      <c r="N14" s="5">
        <v>4681.24</v>
      </c>
      <c r="O14" s="5">
        <v>8003.4699999999993</v>
      </c>
      <c r="P14" s="5">
        <v>931.8</v>
      </c>
      <c r="Q14" s="5">
        <v>1943.05</v>
      </c>
      <c r="R14" s="5">
        <v>2232.7399999999998</v>
      </c>
      <c r="S14" s="5">
        <v>4187.96</v>
      </c>
      <c r="T14" s="45">
        <v>0</v>
      </c>
      <c r="U14" s="5">
        <v>1373.28</v>
      </c>
      <c r="V14" s="5">
        <v>5797.2</v>
      </c>
      <c r="W14" s="5">
        <v>10245.92</v>
      </c>
      <c r="X14" s="5">
        <v>13092.48</v>
      </c>
      <c r="Y14" s="5">
        <v>11541.76</v>
      </c>
      <c r="Z14" s="4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1377.8000000000002</v>
      </c>
      <c r="AF14" s="5">
        <v>770.8</v>
      </c>
      <c r="AG14" s="5">
        <v>0</v>
      </c>
      <c r="AH14" s="37">
        <v>0</v>
      </c>
      <c r="AI14" s="37">
        <v>0</v>
      </c>
      <c r="AJ14" s="45">
        <v>0</v>
      </c>
      <c r="AK14" s="5">
        <v>0</v>
      </c>
      <c r="AL14" s="5">
        <v>0</v>
      </c>
    </row>
    <row r="15" spans="1:39" ht="15">
      <c r="A15" s="16">
        <v>44501</v>
      </c>
      <c r="B15" s="5">
        <v>3391.74</v>
      </c>
      <c r="C15" s="5">
        <v>3933.5099999999998</v>
      </c>
      <c r="D15" s="5">
        <v>5743.89</v>
      </c>
      <c r="E15" s="5">
        <v>3257.73</v>
      </c>
      <c r="F15" s="5">
        <v>2590.9300000000003</v>
      </c>
      <c r="G15" s="5">
        <v>1825.0900000000001</v>
      </c>
      <c r="H15" s="37">
        <v>0</v>
      </c>
      <c r="I15" s="5">
        <v>2601.29</v>
      </c>
      <c r="J15" s="5">
        <v>2232.9</v>
      </c>
      <c r="K15" s="5">
        <v>3112.12</v>
      </c>
      <c r="L15" s="5">
        <v>3184.67</v>
      </c>
      <c r="M15" s="5">
        <v>566.08000000000004</v>
      </c>
      <c r="N15" s="5">
        <v>4199.1400000000003</v>
      </c>
      <c r="O15" s="5">
        <v>7293.12</v>
      </c>
      <c r="P15" s="5">
        <v>745.44</v>
      </c>
      <c r="Q15" s="5">
        <v>1761.62</v>
      </c>
      <c r="R15" s="5">
        <v>2014.75</v>
      </c>
      <c r="S15" s="5">
        <v>3766.69</v>
      </c>
      <c r="T15" s="45">
        <v>0</v>
      </c>
      <c r="U15" s="5">
        <v>1246.74</v>
      </c>
      <c r="V15" s="5">
        <v>5068.4799999999996</v>
      </c>
      <c r="W15" s="5">
        <v>9295.27</v>
      </c>
      <c r="X15" s="5">
        <v>11854.96</v>
      </c>
      <c r="Y15" s="5">
        <v>10416.32</v>
      </c>
      <c r="Z15" s="4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1260.18</v>
      </c>
      <c r="AF15" s="5">
        <v>616.64</v>
      </c>
      <c r="AG15" s="5">
        <v>0</v>
      </c>
      <c r="AH15" s="37">
        <v>0</v>
      </c>
      <c r="AI15" s="37">
        <v>0</v>
      </c>
      <c r="AJ15" s="45">
        <v>0</v>
      </c>
      <c r="AK15" s="5">
        <v>0</v>
      </c>
      <c r="AL15" s="5">
        <v>0</v>
      </c>
    </row>
    <row r="16" spans="1:39" ht="15">
      <c r="A16" s="16">
        <v>44531</v>
      </c>
      <c r="B16" s="5">
        <v>3755.6400000000003</v>
      </c>
      <c r="C16" s="5">
        <v>4359.2999999999993</v>
      </c>
      <c r="D16" s="5">
        <v>6382.1</v>
      </c>
      <c r="E16" s="5">
        <v>3619.7000000000003</v>
      </c>
      <c r="F16" s="5">
        <v>2871.06</v>
      </c>
      <c r="G16" s="5">
        <v>2020.42</v>
      </c>
      <c r="H16" s="37">
        <v>0</v>
      </c>
      <c r="I16" s="5">
        <v>2886.18</v>
      </c>
      <c r="J16" s="5">
        <v>2433.92</v>
      </c>
      <c r="K16" s="5">
        <v>3449.36</v>
      </c>
      <c r="L16" s="5">
        <v>3535.98</v>
      </c>
      <c r="M16" s="5">
        <v>566.08000000000004</v>
      </c>
      <c r="N16" s="5">
        <v>4621</v>
      </c>
      <c r="O16" s="5">
        <v>8076.84</v>
      </c>
      <c r="P16" s="5">
        <v>745.44</v>
      </c>
      <c r="Q16" s="5">
        <v>1953.7199999999998</v>
      </c>
      <c r="R16" s="5">
        <v>2232.7399999999998</v>
      </c>
      <c r="S16" s="5">
        <v>4163.18</v>
      </c>
      <c r="T16" s="45">
        <v>0</v>
      </c>
      <c r="U16" s="5">
        <v>1381.3200000000002</v>
      </c>
      <c r="V16" s="5">
        <v>5469.08</v>
      </c>
      <c r="W16" s="5">
        <v>10305.380000000001</v>
      </c>
      <c r="X16" s="5">
        <v>13135.84</v>
      </c>
      <c r="Y16" s="5">
        <v>11541.76</v>
      </c>
      <c r="Z16" s="4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1377.8000000000002</v>
      </c>
      <c r="AF16" s="5">
        <v>616.64</v>
      </c>
      <c r="AG16" s="5">
        <v>0</v>
      </c>
      <c r="AH16" s="37">
        <v>0</v>
      </c>
      <c r="AI16" s="37">
        <v>0</v>
      </c>
      <c r="AJ16" s="45">
        <v>0</v>
      </c>
      <c r="AK16" s="5">
        <v>0</v>
      </c>
      <c r="AL16" s="5">
        <v>0</v>
      </c>
    </row>
    <row r="17" spans="1:38" ht="15">
      <c r="A17" s="16">
        <v>44562</v>
      </c>
      <c r="B17" s="5">
        <v>4177.8600000000006</v>
      </c>
      <c r="C17" s="5">
        <v>4835.79</v>
      </c>
      <c r="D17" s="5">
        <v>7020.31</v>
      </c>
      <c r="E17" s="5">
        <v>3981.67</v>
      </c>
      <c r="F17" s="5">
        <v>3186.07</v>
      </c>
      <c r="G17" s="5">
        <v>2249.31</v>
      </c>
      <c r="H17" s="37">
        <v>0</v>
      </c>
      <c r="I17" s="5">
        <v>3189.71</v>
      </c>
      <c r="J17" s="5">
        <v>2846.8</v>
      </c>
      <c r="K17" s="5">
        <v>3825.08</v>
      </c>
      <c r="L17" s="5">
        <v>3898.7299999999996</v>
      </c>
      <c r="M17" s="5">
        <v>849.12</v>
      </c>
      <c r="N17" s="5">
        <v>5244.06</v>
      </c>
      <c r="O17" s="5">
        <v>8980.3799999999992</v>
      </c>
      <c r="P17" s="5">
        <v>1118.1600000000001</v>
      </c>
      <c r="Q17" s="5">
        <v>2162.1800000000003</v>
      </c>
      <c r="R17" s="5">
        <v>2477.15</v>
      </c>
      <c r="S17" s="5">
        <v>4658.8100000000004</v>
      </c>
      <c r="T17" s="45">
        <v>0</v>
      </c>
      <c r="U17" s="5">
        <v>1533.6599999999999</v>
      </c>
      <c r="V17" s="5">
        <v>6601.22</v>
      </c>
      <c r="W17" s="5">
        <v>11417.630000000001</v>
      </c>
      <c r="X17" s="5">
        <v>14580.24</v>
      </c>
      <c r="Y17" s="5">
        <v>12810.880000000001</v>
      </c>
      <c r="Z17" s="4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1596.22</v>
      </c>
      <c r="AF17" s="5">
        <v>924.96</v>
      </c>
      <c r="AG17" s="5">
        <v>0</v>
      </c>
      <c r="AH17" s="37">
        <v>0</v>
      </c>
      <c r="AI17" s="37">
        <v>0</v>
      </c>
      <c r="AJ17" s="45">
        <v>0</v>
      </c>
      <c r="AK17" s="5">
        <v>0</v>
      </c>
      <c r="AL17" s="5">
        <v>0</v>
      </c>
    </row>
    <row r="18" spans="1:38" ht="15">
      <c r="A18" s="16">
        <v>44593</v>
      </c>
      <c r="B18" s="5">
        <v>3027.84</v>
      </c>
      <c r="C18" s="5">
        <v>3507.7200000000003</v>
      </c>
      <c r="D18" s="5">
        <v>5105.68</v>
      </c>
      <c r="E18" s="5">
        <v>2895.76</v>
      </c>
      <c r="F18" s="5">
        <v>2310.8000000000002</v>
      </c>
      <c r="G18" s="5">
        <v>1629.7600000000002</v>
      </c>
      <c r="H18" s="37">
        <v>0</v>
      </c>
      <c r="I18" s="5">
        <v>2316.3999999999996</v>
      </c>
      <c r="J18" s="5">
        <v>2031.88</v>
      </c>
      <c r="K18" s="5">
        <v>2774.88</v>
      </c>
      <c r="L18" s="5">
        <v>2833.3599999999997</v>
      </c>
      <c r="M18" s="5">
        <v>566.08000000000004</v>
      </c>
      <c r="N18" s="5">
        <v>3777.28</v>
      </c>
      <c r="O18" s="5">
        <v>6509.4</v>
      </c>
      <c r="P18" s="5">
        <v>745.44</v>
      </c>
      <c r="Q18" s="5">
        <v>1569.52</v>
      </c>
      <c r="R18" s="5">
        <v>1796.76</v>
      </c>
      <c r="S18" s="5">
        <v>3370.2</v>
      </c>
      <c r="T18" s="45">
        <v>0</v>
      </c>
      <c r="U18" s="5">
        <v>1112.1600000000001</v>
      </c>
      <c r="V18" s="5">
        <v>4667.88</v>
      </c>
      <c r="W18" s="5">
        <v>8285.16</v>
      </c>
      <c r="X18" s="5">
        <v>10574.080000000002</v>
      </c>
      <c r="Y18" s="5">
        <v>9290.880000000001</v>
      </c>
      <c r="Z18" s="4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1142.56</v>
      </c>
      <c r="AF18" s="5">
        <v>616.64</v>
      </c>
      <c r="AG18" s="5">
        <v>0</v>
      </c>
      <c r="AH18" s="37">
        <v>0</v>
      </c>
      <c r="AI18" s="37">
        <v>0</v>
      </c>
      <c r="AJ18" s="45">
        <v>0</v>
      </c>
      <c r="AK18" s="5">
        <v>0</v>
      </c>
      <c r="AL18" s="5">
        <v>0</v>
      </c>
    </row>
    <row r="19" spans="1:38" ht="15">
      <c r="A19" s="16">
        <v>44621</v>
      </c>
      <c r="B19" s="5">
        <v>3027.84</v>
      </c>
      <c r="C19" s="5">
        <v>3507.7200000000003</v>
      </c>
      <c r="D19" s="5">
        <v>5105.68</v>
      </c>
      <c r="E19" s="5">
        <v>2895.76</v>
      </c>
      <c r="F19" s="5">
        <v>2236.7200000000003</v>
      </c>
      <c r="G19" s="5">
        <v>1577.08</v>
      </c>
      <c r="H19" s="37">
        <v>0</v>
      </c>
      <c r="I19" s="5">
        <v>2316.3999999999996</v>
      </c>
      <c r="J19" s="5">
        <v>1967.8</v>
      </c>
      <c r="K19" s="5">
        <v>2774.88</v>
      </c>
      <c r="L19" s="5">
        <v>2833.3599999999997</v>
      </c>
      <c r="M19" s="5">
        <v>566.08000000000004</v>
      </c>
      <c r="N19" s="5">
        <v>3777.28</v>
      </c>
      <c r="O19" s="5">
        <v>6509.4</v>
      </c>
      <c r="P19" s="5">
        <v>745.44</v>
      </c>
      <c r="Q19" s="5">
        <v>1569.52</v>
      </c>
      <c r="R19" s="5">
        <v>1796.76</v>
      </c>
      <c r="S19" s="5">
        <v>3370.2</v>
      </c>
      <c r="T19" s="45">
        <v>0</v>
      </c>
      <c r="U19" s="5">
        <v>1112.1600000000001</v>
      </c>
      <c r="V19" s="5">
        <v>4667.88</v>
      </c>
      <c r="W19" s="5">
        <v>8285.16</v>
      </c>
      <c r="X19" s="5">
        <v>10574.080000000002</v>
      </c>
      <c r="Y19" s="5">
        <v>9290.880000000001</v>
      </c>
      <c r="Z19" s="4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1142.56</v>
      </c>
      <c r="AF19" s="5">
        <v>616.64</v>
      </c>
      <c r="AG19" s="5">
        <v>0</v>
      </c>
      <c r="AH19" s="37">
        <v>0</v>
      </c>
      <c r="AI19" s="37">
        <v>0</v>
      </c>
      <c r="AJ19" s="45">
        <v>0</v>
      </c>
      <c r="AK19" s="5">
        <v>0</v>
      </c>
      <c r="AL19" s="5">
        <v>0</v>
      </c>
    </row>
    <row r="20" spans="1:38" ht="15">
      <c r="A20" s="16">
        <v>44652</v>
      </c>
      <c r="B20" s="5">
        <v>8934.74</v>
      </c>
      <c r="C20" s="5">
        <v>3911.1400000000003</v>
      </c>
      <c r="D20" s="5">
        <v>638.21</v>
      </c>
      <c r="E20" s="5">
        <v>4386.05</v>
      </c>
      <c r="F20" s="5">
        <v>3349.24</v>
      </c>
      <c r="G20" s="5">
        <v>2009.9499999999998</v>
      </c>
      <c r="H20" s="37">
        <v>0</v>
      </c>
      <c r="I20" s="5">
        <v>2646.29</v>
      </c>
      <c r="J20" s="5">
        <v>2627.74</v>
      </c>
      <c r="K20" s="5">
        <v>3127.2</v>
      </c>
      <c r="L20" s="5">
        <v>3221.59</v>
      </c>
      <c r="M20" s="5">
        <v>141.52000000000001</v>
      </c>
      <c r="N20" s="5">
        <v>4535.5</v>
      </c>
      <c r="O20" s="5">
        <v>7672.5499999999993</v>
      </c>
      <c r="P20" s="5">
        <v>186.36</v>
      </c>
      <c r="Q20" s="5">
        <v>1751.96</v>
      </c>
      <c r="R20" s="5">
        <v>2027.96</v>
      </c>
      <c r="S20" s="5">
        <v>3816.26</v>
      </c>
      <c r="T20" s="45">
        <v>0</v>
      </c>
      <c r="U20" s="5">
        <v>1278.94</v>
      </c>
      <c r="V20" s="5">
        <v>6967.05</v>
      </c>
      <c r="W20" s="5">
        <v>9690.380000000001</v>
      </c>
      <c r="X20" s="5">
        <v>13680.920000000002</v>
      </c>
      <c r="Y20" s="5">
        <v>10871.32</v>
      </c>
      <c r="Z20" s="45">
        <v>0</v>
      </c>
      <c r="AA20" s="5">
        <v>0</v>
      </c>
      <c r="AB20" s="5">
        <v>0</v>
      </c>
      <c r="AC20" s="5">
        <v>0</v>
      </c>
      <c r="AD20" s="5">
        <v>745.44</v>
      </c>
      <c r="AE20" s="5">
        <v>1817.06</v>
      </c>
      <c r="AF20" s="5">
        <v>1519.16</v>
      </c>
      <c r="AG20" s="5">
        <v>921.36</v>
      </c>
      <c r="AH20" s="37">
        <v>0</v>
      </c>
      <c r="AI20" s="37">
        <v>0</v>
      </c>
      <c r="AJ20" s="45">
        <v>0</v>
      </c>
      <c r="AK20" s="5">
        <v>0</v>
      </c>
      <c r="AL20" s="5">
        <v>0</v>
      </c>
    </row>
    <row r="21" spans="1:38" ht="15">
      <c r="A21" s="16">
        <v>44682</v>
      </c>
      <c r="B21" s="5">
        <v>10599.880000000001</v>
      </c>
      <c r="C21" s="5">
        <v>4300.08</v>
      </c>
      <c r="D21" s="5">
        <v>0</v>
      </c>
      <c r="E21" s="5">
        <v>5030.1000000000004</v>
      </c>
      <c r="F21" s="5">
        <v>3799.0199999999995</v>
      </c>
      <c r="G21" s="5">
        <v>2182.3000000000002</v>
      </c>
      <c r="H21" s="37">
        <v>0</v>
      </c>
      <c r="I21" s="5">
        <v>2930.56</v>
      </c>
      <c r="J21" s="5">
        <v>2791.36</v>
      </c>
      <c r="K21" s="5">
        <v>3445.2</v>
      </c>
      <c r="L21" s="5">
        <v>3567.1800000000003</v>
      </c>
      <c r="M21" s="5">
        <v>0</v>
      </c>
      <c r="N21" s="5">
        <v>4916.24</v>
      </c>
      <c r="O21" s="5">
        <v>8476.24</v>
      </c>
      <c r="P21" s="5">
        <v>0</v>
      </c>
      <c r="Q21" s="5">
        <v>1934.1</v>
      </c>
      <c r="R21" s="5">
        <v>2232.7399999999998</v>
      </c>
      <c r="S21" s="5">
        <v>4163.18</v>
      </c>
      <c r="T21" s="45">
        <v>0</v>
      </c>
      <c r="U21" s="5">
        <v>1414.3000000000002</v>
      </c>
      <c r="V21" s="5">
        <v>7698.6</v>
      </c>
      <c r="W21" s="5">
        <v>10724.18</v>
      </c>
      <c r="X21" s="5">
        <v>14989.060000000001</v>
      </c>
      <c r="Y21" s="5">
        <v>12020.720000000001</v>
      </c>
      <c r="Z21" s="45">
        <v>0</v>
      </c>
      <c r="AA21" s="5">
        <v>0</v>
      </c>
      <c r="AB21" s="5">
        <v>0</v>
      </c>
      <c r="AC21" s="5">
        <v>0</v>
      </c>
      <c r="AD21" s="5">
        <v>745.44</v>
      </c>
      <c r="AE21" s="5">
        <v>2060.02</v>
      </c>
      <c r="AF21" s="5">
        <v>1365</v>
      </c>
      <c r="AG21" s="5">
        <v>921.36</v>
      </c>
      <c r="AH21" s="37">
        <v>0</v>
      </c>
      <c r="AI21" s="37">
        <v>0</v>
      </c>
      <c r="AJ21" s="45">
        <v>0</v>
      </c>
      <c r="AK21" s="5">
        <v>0</v>
      </c>
      <c r="AL21" s="5">
        <v>0</v>
      </c>
    </row>
    <row r="22" spans="1:38" ht="15">
      <c r="A22" s="16">
        <v>44713</v>
      </c>
      <c r="B22" s="5">
        <v>8541.68</v>
      </c>
      <c r="C22" s="5">
        <v>3460</v>
      </c>
      <c r="D22" s="5">
        <v>0</v>
      </c>
      <c r="E22" s="5">
        <v>4024.08</v>
      </c>
      <c r="F22" s="5">
        <v>3061.2799999999997</v>
      </c>
      <c r="G22" s="5">
        <v>1804.6</v>
      </c>
      <c r="H22" s="37">
        <v>0</v>
      </c>
      <c r="I22" s="5">
        <v>2352.08</v>
      </c>
      <c r="J22" s="5">
        <v>2330.4</v>
      </c>
      <c r="K22" s="5">
        <v>2770.7200000000003</v>
      </c>
      <c r="L22" s="5">
        <v>2864.56</v>
      </c>
      <c r="M22" s="5">
        <v>0</v>
      </c>
      <c r="N22" s="5">
        <v>4013.04</v>
      </c>
      <c r="O22" s="5">
        <v>6828.92</v>
      </c>
      <c r="P22" s="5">
        <v>0</v>
      </c>
      <c r="Q22" s="5">
        <v>1551.68</v>
      </c>
      <c r="R22" s="5">
        <v>1796.76</v>
      </c>
      <c r="S22" s="5">
        <v>3370.2</v>
      </c>
      <c r="T22" s="45">
        <v>0</v>
      </c>
      <c r="U22" s="5">
        <v>1135.48</v>
      </c>
      <c r="V22" s="5">
        <v>6200.68</v>
      </c>
      <c r="W22" s="5">
        <v>8629.2000000000007</v>
      </c>
      <c r="X22" s="5">
        <v>12318.28</v>
      </c>
      <c r="Y22" s="5">
        <v>9674.0400000000009</v>
      </c>
      <c r="Z22" s="45">
        <v>0</v>
      </c>
      <c r="AA22" s="5">
        <v>0</v>
      </c>
      <c r="AB22" s="5">
        <v>0</v>
      </c>
      <c r="AC22" s="5">
        <v>0</v>
      </c>
      <c r="AD22" s="5">
        <v>745.44</v>
      </c>
      <c r="AE22" s="5">
        <v>1649.04</v>
      </c>
      <c r="AF22" s="5">
        <v>1365</v>
      </c>
      <c r="AG22" s="5">
        <v>921.36</v>
      </c>
      <c r="AH22" s="37">
        <v>0</v>
      </c>
      <c r="AI22" s="37">
        <v>0</v>
      </c>
      <c r="AJ22" s="45">
        <v>0</v>
      </c>
      <c r="AK22" s="5">
        <v>0</v>
      </c>
      <c r="AL22" s="5">
        <v>0</v>
      </c>
    </row>
    <row r="23" spans="1:38" ht="15">
      <c r="A23" s="16">
        <v>44743</v>
      </c>
      <c r="B23" s="5">
        <v>9021.9399999999987</v>
      </c>
      <c r="C23" s="5">
        <v>4039.54</v>
      </c>
      <c r="D23" s="5">
        <v>0</v>
      </c>
      <c r="E23" s="5">
        <v>3527.22</v>
      </c>
      <c r="F23" s="5">
        <v>2607.96</v>
      </c>
      <c r="G23" s="5">
        <v>1733.4</v>
      </c>
      <c r="H23" s="37">
        <v>0</v>
      </c>
      <c r="I23" s="5">
        <v>2317.56</v>
      </c>
      <c r="J23" s="5">
        <v>2248.5100000000002</v>
      </c>
      <c r="K23" s="5">
        <v>3210.38</v>
      </c>
      <c r="L23" s="5">
        <v>3244.9</v>
      </c>
      <c r="M23" s="5">
        <v>0</v>
      </c>
      <c r="N23" s="5">
        <v>4381.51</v>
      </c>
      <c r="O23" s="5">
        <v>7640.9</v>
      </c>
      <c r="P23" s="5">
        <v>0</v>
      </c>
      <c r="Q23" s="5">
        <v>1769.98</v>
      </c>
      <c r="R23" s="5">
        <v>2119.91</v>
      </c>
      <c r="S23" s="5">
        <v>4102.57</v>
      </c>
      <c r="T23" s="45">
        <v>0</v>
      </c>
      <c r="U23" s="5">
        <v>1215.8499999999999</v>
      </c>
      <c r="V23" s="5">
        <v>5408.03</v>
      </c>
      <c r="W23" s="5">
        <v>9301.2999999999993</v>
      </c>
      <c r="X23" s="5">
        <v>12124.99</v>
      </c>
      <c r="Y23" s="5">
        <v>10974.8</v>
      </c>
      <c r="Z23" s="45">
        <v>0</v>
      </c>
      <c r="AA23" s="5">
        <v>0</v>
      </c>
      <c r="AB23" s="5">
        <v>0</v>
      </c>
      <c r="AC23" s="5">
        <v>0</v>
      </c>
      <c r="AD23" s="5">
        <v>932.7</v>
      </c>
      <c r="AE23" s="5">
        <v>1176.3</v>
      </c>
      <c r="AF23" s="5">
        <v>1421.53</v>
      </c>
      <c r="AG23" s="37">
        <v>0</v>
      </c>
      <c r="AH23" s="37">
        <v>0</v>
      </c>
      <c r="AI23" s="37">
        <v>0</v>
      </c>
      <c r="AJ23" s="45">
        <v>0</v>
      </c>
      <c r="AK23" s="5">
        <v>0</v>
      </c>
      <c r="AL23" s="5">
        <v>0</v>
      </c>
    </row>
    <row r="24" spans="1:38" ht="15">
      <c r="A24" s="16">
        <v>44774</v>
      </c>
      <c r="B24" s="5">
        <v>8082.1</v>
      </c>
      <c r="C24" s="5">
        <v>3619.33</v>
      </c>
      <c r="D24" s="5">
        <v>0</v>
      </c>
      <c r="E24" s="5">
        <v>3174.49</v>
      </c>
      <c r="F24" s="5">
        <v>2337.0699999999997</v>
      </c>
      <c r="G24" s="5">
        <v>1550.67</v>
      </c>
      <c r="H24" s="37">
        <v>0</v>
      </c>
      <c r="I24" s="5">
        <v>2058.25</v>
      </c>
      <c r="J24" s="5">
        <v>1968.08</v>
      </c>
      <c r="K24" s="5">
        <v>2881.31</v>
      </c>
      <c r="L24" s="5">
        <v>2899.73</v>
      </c>
      <c r="M24" s="5">
        <v>0</v>
      </c>
      <c r="N24" s="5">
        <v>3890.78</v>
      </c>
      <c r="O24" s="5">
        <v>6840.5</v>
      </c>
      <c r="P24" s="5">
        <v>0</v>
      </c>
      <c r="Q24" s="5">
        <v>1582.4</v>
      </c>
      <c r="R24" s="5">
        <v>1897.8400000000001</v>
      </c>
      <c r="S24" s="5">
        <v>3667.94</v>
      </c>
      <c r="T24" s="45">
        <v>0</v>
      </c>
      <c r="U24" s="5">
        <v>1089.3200000000002</v>
      </c>
      <c r="V24" s="5">
        <v>4685.08</v>
      </c>
      <c r="W24" s="5">
        <v>8337.5</v>
      </c>
      <c r="X24" s="5">
        <v>10874.73</v>
      </c>
      <c r="Y24" s="5">
        <v>9840.58</v>
      </c>
      <c r="Z24" s="45">
        <v>0</v>
      </c>
      <c r="AA24" s="5">
        <v>0</v>
      </c>
      <c r="AB24" s="5">
        <v>0</v>
      </c>
      <c r="AC24" s="5">
        <v>0</v>
      </c>
      <c r="AD24" s="5">
        <v>746.16</v>
      </c>
      <c r="AE24" s="5">
        <v>1058.67</v>
      </c>
      <c r="AF24" s="5">
        <v>1147.8</v>
      </c>
      <c r="AG24" s="37">
        <v>0</v>
      </c>
      <c r="AH24" s="37">
        <v>0</v>
      </c>
      <c r="AI24" s="37">
        <v>0</v>
      </c>
      <c r="AJ24" s="45">
        <v>0</v>
      </c>
      <c r="AK24" s="5">
        <v>0</v>
      </c>
      <c r="AL24" s="5">
        <v>0</v>
      </c>
    </row>
    <row r="25" spans="1:38" ht="15">
      <c r="A25" s="16">
        <v>44805</v>
      </c>
      <c r="B25" s="5">
        <v>8082.1</v>
      </c>
      <c r="C25" s="5">
        <v>3619.33</v>
      </c>
      <c r="D25" s="5">
        <v>0</v>
      </c>
      <c r="E25" s="5">
        <v>3174.49</v>
      </c>
      <c r="F25" s="5">
        <v>2337.0699999999997</v>
      </c>
      <c r="G25" s="5">
        <v>1550.67</v>
      </c>
      <c r="H25" s="37">
        <v>0</v>
      </c>
      <c r="I25" s="5">
        <v>2058.5100000000002</v>
      </c>
      <c r="J25" s="5">
        <v>1968.08</v>
      </c>
      <c r="K25" s="5">
        <v>2881.2200000000003</v>
      </c>
      <c r="L25" s="5">
        <v>2899.73</v>
      </c>
      <c r="M25" s="5">
        <v>0</v>
      </c>
      <c r="N25" s="5">
        <v>3890.78</v>
      </c>
      <c r="O25" s="5">
        <v>6804.27</v>
      </c>
      <c r="P25" s="5">
        <v>0</v>
      </c>
      <c r="Q25" s="5">
        <v>1582.4</v>
      </c>
      <c r="R25" s="5">
        <v>1897.8400000000001</v>
      </c>
      <c r="S25" s="5">
        <v>3667.94</v>
      </c>
      <c r="T25" s="45">
        <v>0</v>
      </c>
      <c r="U25" s="5">
        <v>1089.3200000000002</v>
      </c>
      <c r="V25" s="5">
        <v>4685.08</v>
      </c>
      <c r="W25" s="5">
        <v>8337.5</v>
      </c>
      <c r="X25" s="5">
        <v>10874.73</v>
      </c>
      <c r="Y25" s="5">
        <v>9840.58</v>
      </c>
      <c r="Z25" s="45">
        <v>0</v>
      </c>
      <c r="AA25" s="5">
        <v>0</v>
      </c>
      <c r="AB25" s="5">
        <v>0</v>
      </c>
      <c r="AC25" s="5">
        <v>0</v>
      </c>
      <c r="AD25" s="5">
        <v>746.16</v>
      </c>
      <c r="AE25" s="5">
        <v>1058.67</v>
      </c>
      <c r="AF25" s="5">
        <v>1179.53</v>
      </c>
      <c r="AG25" s="37">
        <v>0</v>
      </c>
      <c r="AH25" s="37">
        <v>0</v>
      </c>
      <c r="AI25" s="37">
        <v>0</v>
      </c>
      <c r="AJ25" s="45">
        <v>0</v>
      </c>
      <c r="AK25" s="5">
        <v>0</v>
      </c>
      <c r="AL25" s="5">
        <v>0</v>
      </c>
    </row>
    <row r="26" spans="1:38" ht="15">
      <c r="A26" s="16">
        <v>44835</v>
      </c>
      <c r="B26" s="5">
        <v>10049.549999999999</v>
      </c>
      <c r="C26" s="5">
        <v>4362.6200000000008</v>
      </c>
      <c r="D26" s="5">
        <v>0</v>
      </c>
      <c r="E26" s="5">
        <v>3612.7700000000004</v>
      </c>
      <c r="F26" s="5">
        <v>2777.0699999999997</v>
      </c>
      <c r="G26" s="5">
        <v>1941.08</v>
      </c>
      <c r="H26" s="37">
        <v>0</v>
      </c>
      <c r="I26" s="5">
        <v>2856.55</v>
      </c>
      <c r="J26" s="5">
        <v>2438.4700000000003</v>
      </c>
      <c r="K26" s="5">
        <v>3437.26</v>
      </c>
      <c r="L26" s="5">
        <v>3516.02</v>
      </c>
      <c r="M26" s="5">
        <v>0</v>
      </c>
      <c r="N26" s="5">
        <v>4641.21</v>
      </c>
      <c r="O26" s="5">
        <v>7970.2000000000007</v>
      </c>
      <c r="P26" s="5">
        <v>0</v>
      </c>
      <c r="Q26" s="5">
        <v>1946.56</v>
      </c>
      <c r="R26" s="5">
        <v>2235.09</v>
      </c>
      <c r="S26" s="5">
        <v>4188.3899999999994</v>
      </c>
      <c r="T26" s="45">
        <v>0</v>
      </c>
      <c r="U26" s="5">
        <v>1373.19</v>
      </c>
      <c r="V26" s="5">
        <v>5782.34</v>
      </c>
      <c r="W26" s="5">
        <v>10225.75</v>
      </c>
      <c r="X26" s="5">
        <v>13093.04</v>
      </c>
      <c r="Y26" s="5">
        <v>11484.65</v>
      </c>
      <c r="Z26" s="45">
        <v>0</v>
      </c>
      <c r="AA26" s="5">
        <v>0</v>
      </c>
      <c r="AB26" s="5">
        <v>0</v>
      </c>
      <c r="AC26" s="5">
        <v>0</v>
      </c>
      <c r="AD26" s="5">
        <v>932.69</v>
      </c>
      <c r="AE26" s="5">
        <v>1377.9499999999998</v>
      </c>
      <c r="AF26" s="5">
        <v>1474.41</v>
      </c>
      <c r="AG26" s="37">
        <v>0</v>
      </c>
      <c r="AH26" s="37">
        <v>0</v>
      </c>
      <c r="AI26" s="37">
        <v>0</v>
      </c>
      <c r="AJ26" s="45">
        <v>0</v>
      </c>
      <c r="AK26" s="5">
        <v>0</v>
      </c>
      <c r="AL26" s="5">
        <v>0</v>
      </c>
    </row>
    <row r="27" spans="1:38" ht="15">
      <c r="A27" s="16">
        <v>44866</v>
      </c>
      <c r="B27" s="5">
        <v>9128.369999999999</v>
      </c>
      <c r="C27" s="5">
        <v>3951.3</v>
      </c>
      <c r="D27" s="5">
        <v>0</v>
      </c>
      <c r="E27" s="5">
        <v>3260.08</v>
      </c>
      <c r="F27" s="5">
        <v>2509.87</v>
      </c>
      <c r="G27" s="5">
        <v>1762.96</v>
      </c>
      <c r="H27" s="37">
        <v>0</v>
      </c>
      <c r="I27" s="5">
        <v>2597.1000000000004</v>
      </c>
      <c r="J27" s="5">
        <v>2162.71</v>
      </c>
      <c r="K27" s="5">
        <v>3117.1800000000003</v>
      </c>
      <c r="L27" s="5">
        <v>3178.8199999999997</v>
      </c>
      <c r="M27" s="5">
        <v>0</v>
      </c>
      <c r="N27" s="5">
        <v>4162.82</v>
      </c>
      <c r="O27" s="5">
        <v>7199.66</v>
      </c>
      <c r="P27" s="5">
        <v>0</v>
      </c>
      <c r="Q27" s="5">
        <v>1764.8</v>
      </c>
      <c r="R27" s="5">
        <v>2016.87</v>
      </c>
      <c r="S27" s="5">
        <v>3767.07</v>
      </c>
      <c r="T27" s="45">
        <v>0</v>
      </c>
      <c r="U27" s="5">
        <v>1246.6500000000001</v>
      </c>
      <c r="V27" s="5">
        <v>5068.25</v>
      </c>
      <c r="W27" s="5">
        <v>9277.2099999999991</v>
      </c>
      <c r="X27" s="5">
        <v>11855.61</v>
      </c>
      <c r="Y27" s="5">
        <v>10364.779999999999</v>
      </c>
      <c r="Z27" s="45">
        <v>0</v>
      </c>
      <c r="AA27" s="5">
        <v>0</v>
      </c>
      <c r="AB27" s="5">
        <v>0</v>
      </c>
      <c r="AC27" s="5">
        <v>0</v>
      </c>
      <c r="AD27" s="5">
        <v>746.15</v>
      </c>
      <c r="AE27" s="5">
        <v>1260.32</v>
      </c>
      <c r="AF27" s="5">
        <v>1179.53</v>
      </c>
      <c r="AG27" s="37">
        <v>0</v>
      </c>
      <c r="AH27" s="37">
        <v>0</v>
      </c>
      <c r="AI27" s="37">
        <v>0</v>
      </c>
      <c r="AJ27" s="45">
        <v>0</v>
      </c>
      <c r="AK27" s="5">
        <v>0</v>
      </c>
      <c r="AL27" s="5">
        <v>0</v>
      </c>
    </row>
    <row r="28" spans="1:38" ht="15">
      <c r="A28" s="16">
        <v>44896</v>
      </c>
      <c r="B28" s="5">
        <v>10129.700000000001</v>
      </c>
      <c r="C28" s="5">
        <v>4379</v>
      </c>
      <c r="D28" s="5">
        <v>0</v>
      </c>
      <c r="E28" s="5">
        <v>3622.35</v>
      </c>
      <c r="F28" s="5">
        <v>2779.9700000000003</v>
      </c>
      <c r="G28" s="5">
        <v>1951.56</v>
      </c>
      <c r="H28" s="37">
        <v>0</v>
      </c>
      <c r="I28" s="5">
        <v>2881.5299999999997</v>
      </c>
      <c r="J28" s="5">
        <v>2357.35</v>
      </c>
      <c r="K28" s="5">
        <v>3455</v>
      </c>
      <c r="L28" s="5">
        <v>3529.46</v>
      </c>
      <c r="M28" s="5">
        <v>0</v>
      </c>
      <c r="N28" s="5">
        <v>4580.87</v>
      </c>
      <c r="O28" s="5">
        <v>7973.35</v>
      </c>
      <c r="P28" s="5">
        <v>0</v>
      </c>
      <c r="Q28" s="5">
        <v>1957.25</v>
      </c>
      <c r="R28" s="5">
        <v>2235.09</v>
      </c>
      <c r="S28" s="5">
        <v>4163.6000000000004</v>
      </c>
      <c r="T28" s="45">
        <v>0</v>
      </c>
      <c r="U28" s="5">
        <v>1381.2199999999998</v>
      </c>
      <c r="V28" s="5">
        <v>5468.83</v>
      </c>
      <c r="W28" s="5">
        <v>10285.459999999999</v>
      </c>
      <c r="X28" s="5">
        <v>13136.689999999999</v>
      </c>
      <c r="Y28" s="5">
        <v>11484.66</v>
      </c>
      <c r="Z28" s="45">
        <v>0</v>
      </c>
      <c r="AA28" s="5">
        <v>0</v>
      </c>
      <c r="AB28" s="5">
        <v>0</v>
      </c>
      <c r="AC28" s="5">
        <v>0</v>
      </c>
      <c r="AD28" s="5">
        <v>746.15</v>
      </c>
      <c r="AE28" s="5">
        <v>1377.94</v>
      </c>
      <c r="AF28" s="5">
        <v>1179.53</v>
      </c>
      <c r="AG28" s="37">
        <v>0</v>
      </c>
      <c r="AH28" s="37">
        <v>0</v>
      </c>
      <c r="AI28" s="37">
        <v>0</v>
      </c>
      <c r="AJ28" s="45">
        <v>0</v>
      </c>
      <c r="AK28" s="5">
        <v>0</v>
      </c>
      <c r="AL28" s="5">
        <v>0</v>
      </c>
    </row>
    <row r="29" spans="1:38" ht="15">
      <c r="A29" s="16">
        <v>44927</v>
      </c>
      <c r="B29" s="5">
        <v>11710.2</v>
      </c>
      <c r="C29" s="5">
        <v>4678.92</v>
      </c>
      <c r="D29" s="5">
        <v>0</v>
      </c>
      <c r="E29" s="5">
        <v>5535.16</v>
      </c>
      <c r="F29" s="5">
        <v>4201.13</v>
      </c>
      <c r="G29" s="5">
        <v>2440.37</v>
      </c>
      <c r="H29" s="37">
        <v>0</v>
      </c>
      <c r="I29" s="5">
        <v>3226.76</v>
      </c>
      <c r="J29" s="5">
        <v>3141.4700000000003</v>
      </c>
      <c r="K29" s="5">
        <v>3805.8199999999997</v>
      </c>
      <c r="L29" s="5">
        <v>3924.7</v>
      </c>
      <c r="M29" s="5">
        <v>0</v>
      </c>
      <c r="N29" s="5">
        <v>5431.03</v>
      </c>
      <c r="O29" s="5">
        <v>9243.4700000000012</v>
      </c>
      <c r="P29" s="5">
        <v>0</v>
      </c>
      <c r="Q29" s="5">
        <v>2141.86</v>
      </c>
      <c r="R29" s="5">
        <v>2512.3000000000002</v>
      </c>
      <c r="S29" s="5">
        <v>4609.7</v>
      </c>
      <c r="T29" s="45">
        <v>0</v>
      </c>
      <c r="U29" s="5">
        <v>1559.15</v>
      </c>
      <c r="V29" s="5">
        <v>8499.33</v>
      </c>
      <c r="W29" s="5">
        <v>11821.84</v>
      </c>
      <c r="X29" s="5">
        <v>16733.59</v>
      </c>
      <c r="Y29" s="5">
        <v>13202.41</v>
      </c>
      <c r="Z29" s="45">
        <v>0</v>
      </c>
      <c r="AA29" s="5">
        <v>0</v>
      </c>
      <c r="AB29" s="5">
        <v>0</v>
      </c>
      <c r="AC29" s="5">
        <v>0</v>
      </c>
      <c r="AD29" s="5">
        <v>932.73</v>
      </c>
      <c r="AE29" s="5">
        <v>2265.13</v>
      </c>
      <c r="AF29" s="5">
        <v>1594.26</v>
      </c>
      <c r="AG29" s="5">
        <v>1034.5</v>
      </c>
      <c r="AH29" s="37">
        <v>0</v>
      </c>
      <c r="AI29" s="37">
        <v>0</v>
      </c>
      <c r="AJ29" s="45">
        <v>0</v>
      </c>
      <c r="AK29" s="5">
        <v>0</v>
      </c>
      <c r="AL29" s="5">
        <v>0</v>
      </c>
    </row>
    <row r="30" spans="1:38" ht="15">
      <c r="A30" s="16">
        <v>44958</v>
      </c>
      <c r="B30" s="5">
        <v>8550.6</v>
      </c>
      <c r="C30" s="5">
        <v>3411.8199999999997</v>
      </c>
      <c r="D30" s="5">
        <v>0</v>
      </c>
      <c r="E30" s="5">
        <v>4025.58</v>
      </c>
      <c r="F30" s="5">
        <v>3065.41</v>
      </c>
      <c r="G30" s="5">
        <v>1801.4699999999998</v>
      </c>
      <c r="H30" s="37">
        <v>0</v>
      </c>
      <c r="I30" s="5">
        <v>2350.4899999999998</v>
      </c>
      <c r="J30" s="5">
        <v>2330.14</v>
      </c>
      <c r="K30" s="5">
        <v>2774.55</v>
      </c>
      <c r="L30" s="5">
        <v>2859.23</v>
      </c>
      <c r="M30" s="5">
        <v>0</v>
      </c>
      <c r="N30" s="5">
        <v>3979.59</v>
      </c>
      <c r="O30" s="5">
        <v>6744.03</v>
      </c>
      <c r="P30" s="5">
        <v>0</v>
      </c>
      <c r="Q30" s="5">
        <v>1512.3</v>
      </c>
      <c r="R30" s="5">
        <v>1832.3400000000001</v>
      </c>
      <c r="S30" s="5">
        <v>3370.53</v>
      </c>
      <c r="T30" s="45">
        <v>0</v>
      </c>
      <c r="U30" s="5">
        <v>1136.01</v>
      </c>
      <c r="V30" s="5">
        <v>6200.34</v>
      </c>
      <c r="W30" s="5">
        <v>8620.36</v>
      </c>
      <c r="X30" s="5">
        <v>12318.54</v>
      </c>
      <c r="Y30" s="5">
        <v>9627.75</v>
      </c>
      <c r="Z30" s="45">
        <v>0</v>
      </c>
      <c r="AA30" s="5">
        <v>0</v>
      </c>
      <c r="AB30" s="5">
        <v>0</v>
      </c>
      <c r="AC30" s="5">
        <v>0</v>
      </c>
      <c r="AD30" s="5">
        <v>746.18</v>
      </c>
      <c r="AE30" s="5">
        <v>1647.77</v>
      </c>
      <c r="AF30" s="5">
        <v>1275.4100000000001</v>
      </c>
      <c r="AG30" s="5">
        <v>827.6</v>
      </c>
      <c r="AH30" s="37">
        <v>0</v>
      </c>
      <c r="AI30" s="37">
        <v>0</v>
      </c>
      <c r="AJ30" s="45">
        <v>0</v>
      </c>
      <c r="AK30" s="5">
        <v>0</v>
      </c>
      <c r="AL30" s="5">
        <v>0</v>
      </c>
    </row>
    <row r="31" spans="1:38" ht="15">
      <c r="A31" s="16">
        <v>44986</v>
      </c>
      <c r="B31" s="5">
        <v>8550.6</v>
      </c>
      <c r="C31" s="5">
        <v>3411.8199999999997</v>
      </c>
      <c r="D31" s="5">
        <v>0</v>
      </c>
      <c r="E31" s="5">
        <v>4025.58</v>
      </c>
      <c r="F31" s="5">
        <v>3065.41</v>
      </c>
      <c r="G31" s="5">
        <v>1801.4699999999998</v>
      </c>
      <c r="H31" s="37">
        <v>0</v>
      </c>
      <c r="I31" s="5">
        <v>2350.4899999999998</v>
      </c>
      <c r="J31" s="5">
        <v>2330.14</v>
      </c>
      <c r="K31" s="5">
        <v>2774.55</v>
      </c>
      <c r="L31" s="5">
        <v>2859.23</v>
      </c>
      <c r="M31" s="5">
        <v>0</v>
      </c>
      <c r="N31" s="5">
        <v>3979.59</v>
      </c>
      <c r="O31" s="5">
        <v>6744.03</v>
      </c>
      <c r="P31" s="5">
        <v>0</v>
      </c>
      <c r="Q31" s="5">
        <v>1512.3</v>
      </c>
      <c r="R31" s="5">
        <v>1832.3400000000001</v>
      </c>
      <c r="S31" s="5">
        <v>3370.53</v>
      </c>
      <c r="T31" s="45">
        <v>0</v>
      </c>
      <c r="U31" s="5">
        <v>1136.01</v>
      </c>
      <c r="V31" s="5">
        <v>6200.34</v>
      </c>
      <c r="W31" s="5">
        <v>8620.36</v>
      </c>
      <c r="X31" s="5">
        <v>12318.54</v>
      </c>
      <c r="Y31" s="5">
        <v>9627.75</v>
      </c>
      <c r="Z31" s="45">
        <v>0</v>
      </c>
      <c r="AA31" s="5">
        <v>0</v>
      </c>
      <c r="AB31" s="5">
        <v>0</v>
      </c>
      <c r="AC31" s="5">
        <v>0</v>
      </c>
      <c r="AD31" s="5">
        <v>746.18</v>
      </c>
      <c r="AE31" s="5">
        <v>1647.77</v>
      </c>
      <c r="AF31" s="5">
        <v>1275.4100000000001</v>
      </c>
      <c r="AG31" s="5">
        <v>827.6</v>
      </c>
      <c r="AH31" s="37">
        <v>0</v>
      </c>
      <c r="AI31" s="37">
        <v>0</v>
      </c>
      <c r="AJ31" s="45">
        <v>0</v>
      </c>
      <c r="AK31" s="5">
        <v>0</v>
      </c>
      <c r="AL31" s="5">
        <v>0</v>
      </c>
    </row>
    <row r="32" spans="1:38" ht="15">
      <c r="A32" s="16">
        <v>45017</v>
      </c>
      <c r="B32" s="5">
        <v>10738.8</v>
      </c>
      <c r="C32" s="5">
        <v>4264.79</v>
      </c>
      <c r="D32" s="5">
        <v>0</v>
      </c>
      <c r="E32" s="5">
        <v>5032.05</v>
      </c>
      <c r="F32" s="5">
        <v>3832</v>
      </c>
      <c r="G32" s="5">
        <v>2251.84</v>
      </c>
      <c r="H32" s="37">
        <v>0</v>
      </c>
      <c r="I32" s="5">
        <v>2938.12</v>
      </c>
      <c r="J32" s="5">
        <v>2910.46</v>
      </c>
      <c r="K32" s="5">
        <v>4377.99</v>
      </c>
      <c r="L32" s="5">
        <v>3746.45</v>
      </c>
      <c r="M32" s="5">
        <v>0</v>
      </c>
      <c r="N32" s="5">
        <v>4974.49</v>
      </c>
      <c r="O32" s="5">
        <v>8430.0400000000009</v>
      </c>
      <c r="P32" s="5">
        <v>0</v>
      </c>
      <c r="Q32" s="5">
        <v>1890.38</v>
      </c>
      <c r="R32" s="5">
        <v>2290.37</v>
      </c>
      <c r="S32" s="5">
        <v>4213.17</v>
      </c>
      <c r="T32" s="45">
        <v>0</v>
      </c>
      <c r="U32" s="5">
        <v>1417.31</v>
      </c>
      <c r="V32" s="5">
        <v>7750.41</v>
      </c>
      <c r="W32" s="5">
        <v>10775.45</v>
      </c>
      <c r="X32" s="5">
        <v>15507.19</v>
      </c>
      <c r="Y32" s="5">
        <v>12034.689999999999</v>
      </c>
      <c r="Z32" s="45">
        <v>0</v>
      </c>
      <c r="AA32" s="5">
        <v>0</v>
      </c>
      <c r="AB32" s="5">
        <v>0</v>
      </c>
      <c r="AC32" s="5">
        <v>0</v>
      </c>
      <c r="AD32" s="5">
        <v>932.73</v>
      </c>
      <c r="AE32" s="5">
        <v>2059.5699999999997</v>
      </c>
      <c r="AF32" s="5">
        <v>2104.42</v>
      </c>
      <c r="AG32" s="5">
        <v>1034.5</v>
      </c>
      <c r="AH32" s="37">
        <v>0</v>
      </c>
      <c r="AI32" s="37">
        <v>0</v>
      </c>
      <c r="AJ32" s="45">
        <v>0</v>
      </c>
      <c r="AK32" s="5">
        <v>0</v>
      </c>
      <c r="AL32" s="5">
        <v>0</v>
      </c>
    </row>
    <row r="33" spans="1:38" ht="15">
      <c r="A33" s="16">
        <v>45047</v>
      </c>
      <c r="B33" s="5">
        <v>9631.34</v>
      </c>
      <c r="C33" s="5">
        <v>3825.96</v>
      </c>
      <c r="D33" s="5">
        <v>0</v>
      </c>
      <c r="E33" s="5">
        <v>4528.8500000000004</v>
      </c>
      <c r="F33" s="5">
        <v>3435.02</v>
      </c>
      <c r="G33" s="5">
        <v>1990</v>
      </c>
      <c r="H33" s="37">
        <v>0</v>
      </c>
      <c r="I33" s="5">
        <v>2639.66</v>
      </c>
      <c r="J33" s="5">
        <v>2558.37</v>
      </c>
      <c r="K33" s="5">
        <v>4021.9900000000002</v>
      </c>
      <c r="L33" s="5">
        <v>3382.31</v>
      </c>
      <c r="M33" s="5">
        <v>0</v>
      </c>
      <c r="N33" s="5">
        <v>4427.17</v>
      </c>
      <c r="O33" s="5">
        <v>7557.4699999999993</v>
      </c>
      <c r="P33" s="5">
        <v>0</v>
      </c>
      <c r="Q33" s="5">
        <v>1698.69</v>
      </c>
      <c r="R33" s="5">
        <v>2054.16</v>
      </c>
      <c r="S33" s="5">
        <v>3767.07</v>
      </c>
      <c r="T33" s="45">
        <v>0</v>
      </c>
      <c r="U33" s="5">
        <v>1272.78</v>
      </c>
      <c r="V33" s="5">
        <v>6949.25</v>
      </c>
      <c r="W33" s="5">
        <v>9666.7900000000009</v>
      </c>
      <c r="X33" s="5">
        <v>13762.98</v>
      </c>
      <c r="Y33" s="5">
        <v>10795.47</v>
      </c>
      <c r="Z33" s="45">
        <v>0</v>
      </c>
      <c r="AA33" s="5">
        <v>0</v>
      </c>
      <c r="AB33" s="5">
        <v>0</v>
      </c>
      <c r="AC33" s="5">
        <v>0</v>
      </c>
      <c r="AD33" s="5">
        <v>746.18</v>
      </c>
      <c r="AE33" s="5">
        <v>1852.9199999999998</v>
      </c>
      <c r="AF33" s="5">
        <v>1785.57</v>
      </c>
      <c r="AG33" s="5">
        <v>827.6</v>
      </c>
      <c r="AH33" s="37">
        <v>0</v>
      </c>
      <c r="AI33" s="37">
        <v>0</v>
      </c>
      <c r="AJ33" s="45">
        <v>0</v>
      </c>
      <c r="AK33" s="5">
        <v>0</v>
      </c>
      <c r="AL33" s="5">
        <v>0</v>
      </c>
    </row>
    <row r="34" spans="1:38" ht="15">
      <c r="A34" s="16">
        <v>45078</v>
      </c>
      <c r="B34" s="5">
        <v>8600.43</v>
      </c>
      <c r="C34" s="5">
        <v>3411.8199999999997</v>
      </c>
      <c r="D34" s="5">
        <v>0</v>
      </c>
      <c r="E34" s="5">
        <v>4025.64</v>
      </c>
      <c r="F34" s="5">
        <v>3065.62</v>
      </c>
      <c r="G34" s="5">
        <v>1801.4699999999998</v>
      </c>
      <c r="H34" s="37">
        <v>0</v>
      </c>
      <c r="I34" s="5">
        <v>2350.4899999999998</v>
      </c>
      <c r="J34" s="5">
        <v>2328.12</v>
      </c>
      <c r="K34" s="5">
        <v>3579.3900000000003</v>
      </c>
      <c r="L34" s="5">
        <v>3012.81</v>
      </c>
      <c r="M34" s="5">
        <v>0</v>
      </c>
      <c r="N34" s="5">
        <v>3979.59</v>
      </c>
      <c r="O34" s="5">
        <v>6744.03</v>
      </c>
      <c r="P34" s="5">
        <v>0</v>
      </c>
      <c r="Q34" s="5">
        <v>1512.3</v>
      </c>
      <c r="R34" s="5">
        <v>1832.3000000000002</v>
      </c>
      <c r="S34" s="5">
        <v>3370.53</v>
      </c>
      <c r="T34" s="45">
        <v>0</v>
      </c>
      <c r="U34" s="5">
        <v>1133.04</v>
      </c>
      <c r="V34" s="5">
        <v>6200.34</v>
      </c>
      <c r="W34" s="5">
        <v>8620.36</v>
      </c>
      <c r="X34" s="5">
        <v>12427.560000000001</v>
      </c>
      <c r="Y34" s="5">
        <v>9627.75</v>
      </c>
      <c r="Z34" s="45">
        <v>0</v>
      </c>
      <c r="AA34" s="5">
        <v>0</v>
      </c>
      <c r="AB34" s="5">
        <v>0</v>
      </c>
      <c r="AC34" s="5">
        <v>0</v>
      </c>
      <c r="AD34" s="5">
        <v>746.18</v>
      </c>
      <c r="AE34" s="5">
        <v>1647.65</v>
      </c>
      <c r="AF34" s="5">
        <v>1785.57</v>
      </c>
      <c r="AG34" s="5">
        <v>827.6</v>
      </c>
      <c r="AH34" s="37">
        <v>0</v>
      </c>
      <c r="AI34" s="37">
        <v>0</v>
      </c>
      <c r="AJ34" s="45">
        <v>0</v>
      </c>
      <c r="AK34" s="5">
        <v>0</v>
      </c>
      <c r="AL34" s="5">
        <v>0</v>
      </c>
    </row>
    <row r="35" spans="1:38" ht="15">
      <c r="A35" s="16">
        <v>45108</v>
      </c>
      <c r="B35" s="5">
        <v>11709.26</v>
      </c>
      <c r="C35" s="5">
        <v>4678.9699999999993</v>
      </c>
      <c r="D35" s="5">
        <v>0</v>
      </c>
      <c r="E35" s="5">
        <v>5536.43</v>
      </c>
      <c r="F35" s="5">
        <v>4201.13</v>
      </c>
      <c r="G35" s="5">
        <v>2440.2399999999998</v>
      </c>
      <c r="H35" s="37">
        <v>0</v>
      </c>
      <c r="I35" s="5">
        <v>3223.0299999999997</v>
      </c>
      <c r="J35" s="5">
        <v>3146.88</v>
      </c>
      <c r="K35" s="5">
        <v>3805.8199999999997</v>
      </c>
      <c r="L35" s="5">
        <v>3924.7</v>
      </c>
      <c r="M35" s="5">
        <v>0</v>
      </c>
      <c r="N35" s="5">
        <v>5436.3899999999994</v>
      </c>
      <c r="O35" s="5">
        <v>9243.76</v>
      </c>
      <c r="P35" s="5">
        <v>0</v>
      </c>
      <c r="Q35" s="5">
        <v>2148.5099999999998</v>
      </c>
      <c r="R35" s="5">
        <v>2466.7399999999998</v>
      </c>
      <c r="S35" s="5">
        <v>4609.7</v>
      </c>
      <c r="T35" s="45">
        <v>0</v>
      </c>
      <c r="U35" s="5">
        <v>1559.32</v>
      </c>
      <c r="V35" s="5">
        <v>8499.33</v>
      </c>
      <c r="W35" s="5">
        <v>11809.849999999999</v>
      </c>
      <c r="X35" s="5">
        <v>16733.59</v>
      </c>
      <c r="Y35" s="5">
        <v>13200.099999999999</v>
      </c>
      <c r="Z35" s="45">
        <v>0</v>
      </c>
      <c r="AA35" s="5">
        <v>0</v>
      </c>
      <c r="AB35" s="5">
        <v>0</v>
      </c>
      <c r="AC35" s="5">
        <v>0</v>
      </c>
      <c r="AD35" s="5">
        <v>932.7</v>
      </c>
      <c r="AE35" s="5">
        <v>2264.9700000000003</v>
      </c>
      <c r="AF35" s="5">
        <v>1702.53</v>
      </c>
      <c r="AG35" s="5">
        <v>1151.9100000000001</v>
      </c>
      <c r="AH35" s="37">
        <v>0</v>
      </c>
      <c r="AI35" s="37">
        <v>0</v>
      </c>
      <c r="AJ35" s="45">
        <v>0</v>
      </c>
      <c r="AK35" s="5">
        <v>0</v>
      </c>
      <c r="AL35" s="5">
        <v>0</v>
      </c>
    </row>
    <row r="36" spans="1:38" ht="15">
      <c r="A36" s="16">
        <v>45139</v>
      </c>
      <c r="B36" s="5">
        <v>8543.91</v>
      </c>
      <c r="C36" s="5">
        <v>3411.8599999999997</v>
      </c>
      <c r="D36" s="5">
        <v>0</v>
      </c>
      <c r="E36" s="5">
        <v>4026.5</v>
      </c>
      <c r="F36" s="5">
        <v>3065.41</v>
      </c>
      <c r="G36" s="5">
        <v>1801.37</v>
      </c>
      <c r="H36" s="37">
        <v>0</v>
      </c>
      <c r="I36" s="5">
        <v>2347.4</v>
      </c>
      <c r="J36" s="5">
        <v>2332.9299999999998</v>
      </c>
      <c r="K36" s="5">
        <v>2774.55</v>
      </c>
      <c r="L36" s="5">
        <v>2859.23</v>
      </c>
      <c r="M36" s="5">
        <v>0</v>
      </c>
      <c r="N36" s="5">
        <v>3990.32</v>
      </c>
      <c r="O36" s="5">
        <v>6744.23</v>
      </c>
      <c r="P36" s="5">
        <v>0</v>
      </c>
      <c r="Q36" s="5">
        <v>1586.8</v>
      </c>
      <c r="R36" s="5">
        <v>1798.81</v>
      </c>
      <c r="S36" s="5">
        <v>3370.53</v>
      </c>
      <c r="T36" s="45">
        <v>0</v>
      </c>
      <c r="U36" s="5">
        <v>1135.67</v>
      </c>
      <c r="V36" s="5">
        <v>6200.34</v>
      </c>
      <c r="W36" s="5">
        <v>8611.43</v>
      </c>
      <c r="X36" s="5">
        <v>12318.54</v>
      </c>
      <c r="Y36" s="5">
        <v>9626.06</v>
      </c>
      <c r="Z36" s="45">
        <v>0</v>
      </c>
      <c r="AA36" s="5">
        <v>0</v>
      </c>
      <c r="AB36" s="5">
        <v>0</v>
      </c>
      <c r="AC36" s="5">
        <v>0</v>
      </c>
      <c r="AD36" s="5">
        <v>746.18</v>
      </c>
      <c r="AE36" s="5">
        <v>1647.75</v>
      </c>
      <c r="AF36" s="5">
        <v>1362.02</v>
      </c>
      <c r="AG36" s="5">
        <v>921.53</v>
      </c>
      <c r="AH36" s="37">
        <v>0</v>
      </c>
      <c r="AI36" s="37">
        <v>0</v>
      </c>
      <c r="AJ36" s="45">
        <v>0</v>
      </c>
      <c r="AK36" s="5">
        <v>0</v>
      </c>
      <c r="AL36" s="5">
        <v>0</v>
      </c>
    </row>
    <row r="37" spans="1:38" ht="15">
      <c r="A37" s="16">
        <v>45170</v>
      </c>
      <c r="B37" s="5">
        <v>9573.2799999999988</v>
      </c>
      <c r="C37" s="5">
        <v>3826</v>
      </c>
      <c r="D37" s="5">
        <v>0</v>
      </c>
      <c r="E37" s="5">
        <v>4529.8099999999995</v>
      </c>
      <c r="F37" s="5">
        <v>3434.7799999999997</v>
      </c>
      <c r="G37" s="5">
        <v>1989.8899999999999</v>
      </c>
      <c r="H37" s="37">
        <v>0</v>
      </c>
      <c r="I37" s="5">
        <v>2636.19</v>
      </c>
      <c r="J37" s="5">
        <v>2563.6499999999996</v>
      </c>
      <c r="K37" s="5">
        <v>3112.1800000000003</v>
      </c>
      <c r="L37" s="5">
        <v>3209.89</v>
      </c>
      <c r="M37" s="5">
        <v>0</v>
      </c>
      <c r="N37" s="5">
        <v>4438.8099999999995</v>
      </c>
      <c r="O37" s="5">
        <v>7557.6900000000005</v>
      </c>
      <c r="P37" s="5">
        <v>0</v>
      </c>
      <c r="Q37" s="5">
        <v>1782.4</v>
      </c>
      <c r="R37" s="5">
        <v>2017.0500000000002</v>
      </c>
      <c r="S37" s="5">
        <v>3767.07</v>
      </c>
      <c r="T37" s="45">
        <v>0</v>
      </c>
      <c r="U37" s="5">
        <v>1275.06</v>
      </c>
      <c r="V37" s="5">
        <v>6949.25</v>
      </c>
      <c r="W37" s="5">
        <v>9656.74</v>
      </c>
      <c r="X37" s="5">
        <v>13653.96</v>
      </c>
      <c r="Y37" s="5">
        <v>10793.58</v>
      </c>
      <c r="Z37" s="45">
        <v>0</v>
      </c>
      <c r="AA37" s="5">
        <v>0</v>
      </c>
      <c r="AB37" s="5">
        <v>0</v>
      </c>
      <c r="AC37" s="5">
        <v>0</v>
      </c>
      <c r="AD37" s="5">
        <v>746.18</v>
      </c>
      <c r="AE37" s="5">
        <v>1853.0300000000002</v>
      </c>
      <c r="AF37" s="5">
        <v>1362.02</v>
      </c>
      <c r="AG37" s="5">
        <v>921.53</v>
      </c>
      <c r="AH37" s="37">
        <v>0</v>
      </c>
      <c r="AI37" s="37">
        <v>0</v>
      </c>
      <c r="AJ37" s="45">
        <v>0</v>
      </c>
      <c r="AK37" s="5">
        <v>0</v>
      </c>
      <c r="AL37" s="5">
        <v>0</v>
      </c>
    </row>
    <row r="38" spans="1:38" ht="15">
      <c r="A38" s="16">
        <v>45200</v>
      </c>
      <c r="B38" s="5">
        <v>10679.89</v>
      </c>
      <c r="C38" s="5">
        <v>4264.66</v>
      </c>
      <c r="D38" s="5">
        <v>0</v>
      </c>
      <c r="E38" s="5">
        <v>5032.08</v>
      </c>
      <c r="F38" s="5">
        <v>3831.76</v>
      </c>
      <c r="G38" s="5">
        <v>2251.7200000000003</v>
      </c>
      <c r="H38" s="37">
        <v>0</v>
      </c>
      <c r="I38" s="5">
        <v>2937.04</v>
      </c>
      <c r="J38" s="5">
        <v>2912.37</v>
      </c>
      <c r="K38" s="5">
        <v>3468.1800000000003</v>
      </c>
      <c r="L38" s="5">
        <v>3574.04</v>
      </c>
      <c r="M38" s="5">
        <v>0</v>
      </c>
      <c r="N38" s="5">
        <v>4987.8899999999994</v>
      </c>
      <c r="O38" s="5">
        <v>8430.19</v>
      </c>
      <c r="P38" s="5">
        <v>0</v>
      </c>
      <c r="Q38" s="5">
        <v>1983.5</v>
      </c>
      <c r="R38" s="5">
        <v>2285.6799999999998</v>
      </c>
      <c r="S38" s="5">
        <v>4213.17</v>
      </c>
      <c r="T38" s="45">
        <v>0</v>
      </c>
      <c r="U38" s="5">
        <v>1419.5900000000001</v>
      </c>
      <c r="V38" s="5">
        <v>7750.41</v>
      </c>
      <c r="W38" s="5">
        <v>10764.310000000001</v>
      </c>
      <c r="X38" s="5">
        <v>15398.18</v>
      </c>
      <c r="Y38" s="5">
        <v>12034.47</v>
      </c>
      <c r="Z38" s="45">
        <v>0</v>
      </c>
      <c r="AA38" s="37">
        <v>0</v>
      </c>
      <c r="AB38" s="5">
        <v>0</v>
      </c>
      <c r="AC38" s="5">
        <v>0</v>
      </c>
      <c r="AD38" s="5">
        <v>932.73</v>
      </c>
      <c r="AE38" s="5">
        <v>2059.8599999999997</v>
      </c>
      <c r="AF38" s="5">
        <v>1615.91</v>
      </c>
      <c r="AG38" s="5">
        <v>1057.98</v>
      </c>
      <c r="AH38" s="37">
        <v>0</v>
      </c>
      <c r="AI38" s="37">
        <v>0</v>
      </c>
      <c r="AJ38" s="45">
        <v>0</v>
      </c>
      <c r="AK38" s="5">
        <v>0</v>
      </c>
      <c r="AL38" s="5">
        <v>0</v>
      </c>
    </row>
    <row r="39" spans="1:38" ht="15">
      <c r="A39" s="16">
        <v>45231</v>
      </c>
      <c r="B39" s="5">
        <v>9573.2799999999988</v>
      </c>
      <c r="C39" s="5">
        <v>3825.83</v>
      </c>
      <c r="D39" s="5">
        <v>0</v>
      </c>
      <c r="E39" s="5">
        <v>4528.7700000000004</v>
      </c>
      <c r="F39" s="5">
        <v>3434.7799999999997</v>
      </c>
      <c r="G39" s="5">
        <v>1989.8899999999999</v>
      </c>
      <c r="H39" s="37">
        <v>0</v>
      </c>
      <c r="I39" s="5">
        <v>2638.98</v>
      </c>
      <c r="J39" s="5">
        <v>2555.3500000000004</v>
      </c>
      <c r="K39" s="5">
        <v>3112.1800000000003</v>
      </c>
      <c r="L39" s="5">
        <v>3209.89</v>
      </c>
      <c r="M39" s="5">
        <v>0</v>
      </c>
      <c r="N39" s="5">
        <v>4438.8099999999995</v>
      </c>
      <c r="O39" s="5">
        <v>7557.4699999999993</v>
      </c>
      <c r="P39" s="5">
        <v>0</v>
      </c>
      <c r="Q39" s="5">
        <v>1782.4</v>
      </c>
      <c r="R39" s="5">
        <v>2054.21</v>
      </c>
      <c r="S39" s="5">
        <v>3767.07</v>
      </c>
      <c r="T39" s="45">
        <v>0</v>
      </c>
      <c r="U39" s="5">
        <v>1275.06</v>
      </c>
      <c r="V39" s="5">
        <v>6949.25</v>
      </c>
      <c r="W39" s="5">
        <v>9656.76</v>
      </c>
      <c r="X39" s="5">
        <v>13653.96</v>
      </c>
      <c r="Y39" s="5">
        <v>10795.47</v>
      </c>
      <c r="Z39" s="45">
        <v>0</v>
      </c>
      <c r="AA39" s="37">
        <v>0</v>
      </c>
      <c r="AB39" s="5">
        <v>0</v>
      </c>
      <c r="AC39" s="5">
        <v>0</v>
      </c>
      <c r="AD39" s="5">
        <v>746.18</v>
      </c>
      <c r="AE39" s="5">
        <v>1853.21</v>
      </c>
      <c r="AF39" s="5">
        <v>1275.4100000000001</v>
      </c>
      <c r="AG39" s="5">
        <v>827.6</v>
      </c>
      <c r="AH39" s="37">
        <v>0</v>
      </c>
      <c r="AI39" s="37">
        <v>0</v>
      </c>
      <c r="AJ39" s="45">
        <v>0</v>
      </c>
      <c r="AK39" s="5">
        <v>0</v>
      </c>
      <c r="AL39" s="5">
        <v>0</v>
      </c>
    </row>
    <row r="40" spans="1:38" ht="15">
      <c r="A40" s="16">
        <v>45261</v>
      </c>
      <c r="B40" s="5">
        <v>10676.46</v>
      </c>
      <c r="C40" s="5">
        <v>4264.79</v>
      </c>
      <c r="D40" s="5">
        <v>0</v>
      </c>
      <c r="E40" s="5">
        <v>5031.96</v>
      </c>
      <c r="F40" s="5">
        <v>3831.76</v>
      </c>
      <c r="G40" s="5">
        <v>2251.84</v>
      </c>
      <c r="H40" s="37">
        <v>0</v>
      </c>
      <c r="I40" s="5">
        <v>2937.36</v>
      </c>
      <c r="J40" s="5">
        <v>2910.24</v>
      </c>
      <c r="K40" s="5">
        <v>3468.1800000000003</v>
      </c>
      <c r="L40" s="5">
        <v>3574.04</v>
      </c>
      <c r="M40" s="5">
        <v>0</v>
      </c>
      <c r="N40" s="5">
        <v>4987.8899999999994</v>
      </c>
      <c r="O40" s="5">
        <v>8430.0400000000009</v>
      </c>
      <c r="P40" s="5">
        <v>0</v>
      </c>
      <c r="Q40" s="5">
        <v>1983.5</v>
      </c>
      <c r="R40" s="5">
        <v>2290.4299999999998</v>
      </c>
      <c r="S40" s="5">
        <v>4213.17</v>
      </c>
      <c r="T40" s="45">
        <v>0</v>
      </c>
      <c r="U40" s="5">
        <v>1419.5900000000001</v>
      </c>
      <c r="V40" s="5">
        <v>7750.41</v>
      </c>
      <c r="W40" s="5">
        <v>10775.39</v>
      </c>
      <c r="X40" s="5">
        <v>15398.18</v>
      </c>
      <c r="Y40" s="5">
        <v>12034.689999999999</v>
      </c>
      <c r="Z40" s="45">
        <v>0</v>
      </c>
      <c r="AA40" s="37">
        <v>0</v>
      </c>
      <c r="AB40" s="5">
        <v>0</v>
      </c>
      <c r="AC40" s="5">
        <v>0</v>
      </c>
      <c r="AD40" s="5">
        <v>932.73</v>
      </c>
      <c r="AE40" s="5">
        <v>2059.88</v>
      </c>
      <c r="AF40" s="5">
        <v>1594.26</v>
      </c>
      <c r="AG40" s="5">
        <v>1034.5</v>
      </c>
      <c r="AH40" s="37">
        <v>0</v>
      </c>
      <c r="AI40" s="37">
        <v>0</v>
      </c>
      <c r="AJ40" s="45">
        <v>0</v>
      </c>
      <c r="AK40" s="5">
        <v>0</v>
      </c>
      <c r="AL40" s="5">
        <v>0</v>
      </c>
    </row>
    <row r="41" spans="1:38" ht="15">
      <c r="A41" s="16">
        <v>45292</v>
      </c>
      <c r="B41" s="5">
        <v>13237.16</v>
      </c>
      <c r="C41" s="5">
        <v>5446.32</v>
      </c>
      <c r="D41" s="5">
        <v>0</v>
      </c>
      <c r="E41" s="5">
        <v>6793.4400000000005</v>
      </c>
      <c r="F41" s="5">
        <v>4908.1900000000005</v>
      </c>
      <c r="G41" s="5">
        <v>3749.6400000000003</v>
      </c>
      <c r="H41" s="37">
        <v>0</v>
      </c>
      <c r="I41" s="5">
        <v>3535.2799999999997</v>
      </c>
      <c r="J41" s="5">
        <v>3616.67</v>
      </c>
      <c r="K41" s="5">
        <v>5381.54</v>
      </c>
      <c r="L41" s="5">
        <v>4525.2700000000004</v>
      </c>
      <c r="M41" s="5">
        <v>0</v>
      </c>
      <c r="N41" s="5">
        <v>6253.43</v>
      </c>
      <c r="O41" s="5">
        <v>10455.299999999999</v>
      </c>
      <c r="P41" s="5">
        <v>0</v>
      </c>
      <c r="Q41" s="5">
        <v>2385.37</v>
      </c>
      <c r="R41" s="5">
        <v>2709.3599999999997</v>
      </c>
      <c r="S41" s="5">
        <v>4919.97</v>
      </c>
      <c r="T41" s="45">
        <v>0</v>
      </c>
      <c r="U41" s="5">
        <v>2027.96</v>
      </c>
      <c r="V41" s="5">
        <v>9596.58</v>
      </c>
      <c r="W41" s="5">
        <v>13367.01</v>
      </c>
      <c r="X41" s="5">
        <v>19458.8</v>
      </c>
      <c r="Y41" s="5">
        <v>14846.75</v>
      </c>
      <c r="Z41" s="45">
        <v>0</v>
      </c>
      <c r="AA41" s="37">
        <v>0</v>
      </c>
      <c r="AB41" s="5">
        <v>0</v>
      </c>
      <c r="AC41" s="5">
        <v>0</v>
      </c>
      <c r="AD41" s="5">
        <v>2927.3199999999997</v>
      </c>
      <c r="AE41" s="5">
        <v>2472.83</v>
      </c>
      <c r="AF41" s="5">
        <v>7652.4500000000007</v>
      </c>
      <c r="AG41" s="5">
        <v>1448.3</v>
      </c>
      <c r="AH41" s="37">
        <v>0</v>
      </c>
      <c r="AI41" s="37">
        <v>0</v>
      </c>
      <c r="AJ41" s="45">
        <v>0</v>
      </c>
      <c r="AK41" s="5">
        <v>0</v>
      </c>
      <c r="AL41" s="5">
        <v>0</v>
      </c>
    </row>
    <row r="42" spans="1:38" ht="15">
      <c r="A42" s="16">
        <v>45323</v>
      </c>
      <c r="B42" s="5">
        <v>8742.39</v>
      </c>
      <c r="C42" s="5">
        <v>3603.75</v>
      </c>
      <c r="D42" s="5">
        <v>0</v>
      </c>
      <c r="E42" s="5">
        <v>4528.96</v>
      </c>
      <c r="F42" s="5">
        <v>3239.24</v>
      </c>
      <c r="G42" s="5">
        <v>2429.94</v>
      </c>
      <c r="H42" s="37">
        <v>0</v>
      </c>
      <c r="I42" s="5">
        <v>2350.66</v>
      </c>
      <c r="J42" s="5">
        <v>2330.0299999999997</v>
      </c>
      <c r="K42" s="5">
        <v>3581.27</v>
      </c>
      <c r="L42" s="5">
        <v>3007.39</v>
      </c>
      <c r="M42" s="5">
        <v>0</v>
      </c>
      <c r="N42" s="5">
        <v>4084.9700000000003</v>
      </c>
      <c r="O42" s="5">
        <v>6904.46</v>
      </c>
      <c r="P42" s="5">
        <v>0</v>
      </c>
      <c r="Q42" s="5">
        <v>1586.6100000000001</v>
      </c>
      <c r="R42" s="5">
        <v>1796.85</v>
      </c>
      <c r="S42" s="5">
        <v>3248.13</v>
      </c>
      <c r="T42" s="45">
        <v>0</v>
      </c>
      <c r="U42" s="5">
        <v>1349.46</v>
      </c>
      <c r="V42" s="5">
        <v>6339.67</v>
      </c>
      <c r="W42" s="5">
        <v>8834.2000000000007</v>
      </c>
      <c r="X42" s="5">
        <v>12645.49</v>
      </c>
      <c r="Y42" s="5">
        <v>9818.4000000000015</v>
      </c>
      <c r="Z42" s="45">
        <v>0</v>
      </c>
      <c r="AA42" s="37">
        <v>0</v>
      </c>
      <c r="AB42" s="5">
        <v>0</v>
      </c>
      <c r="AC42" s="5">
        <v>0</v>
      </c>
      <c r="AD42" s="5">
        <v>1951.54</v>
      </c>
      <c r="AE42" s="5">
        <v>1647.65</v>
      </c>
      <c r="AF42" s="5">
        <v>5101.6400000000003</v>
      </c>
      <c r="AG42" s="5">
        <v>827.6</v>
      </c>
      <c r="AH42" s="37">
        <v>0</v>
      </c>
      <c r="AI42" s="37">
        <v>0</v>
      </c>
      <c r="AJ42" s="45">
        <v>0</v>
      </c>
      <c r="AK42" s="5">
        <v>0</v>
      </c>
      <c r="AL42" s="5">
        <v>0</v>
      </c>
    </row>
    <row r="43" spans="1:38" ht="15">
      <c r="A43" s="16">
        <v>45352</v>
      </c>
      <c r="B43" s="5">
        <v>10927.98</v>
      </c>
      <c r="C43" s="5">
        <v>4504.6900000000005</v>
      </c>
      <c r="D43" s="5">
        <v>0</v>
      </c>
      <c r="E43" s="5">
        <v>5659.9</v>
      </c>
      <c r="F43" s="5">
        <v>4049.04</v>
      </c>
      <c r="G43" s="5">
        <v>3037.42</v>
      </c>
      <c r="H43" s="37">
        <v>0</v>
      </c>
      <c r="I43" s="5">
        <v>3316.53</v>
      </c>
      <c r="J43" s="5">
        <v>2912.54</v>
      </c>
      <c r="K43" s="5">
        <v>4476.58</v>
      </c>
      <c r="L43" s="5">
        <v>3759.23</v>
      </c>
      <c r="M43" s="5">
        <v>0</v>
      </c>
      <c r="N43" s="5">
        <v>4979.7299999999996</v>
      </c>
      <c r="O43" s="5">
        <v>8630.57</v>
      </c>
      <c r="P43" s="5">
        <v>0</v>
      </c>
      <c r="Q43" s="5">
        <v>1986.4</v>
      </c>
      <c r="R43" s="5">
        <v>2245</v>
      </c>
      <c r="S43" s="5">
        <v>4060.17</v>
      </c>
      <c r="T43" s="45">
        <v>0</v>
      </c>
      <c r="U43" s="5">
        <v>1684.54</v>
      </c>
      <c r="V43" s="5">
        <v>7924.58</v>
      </c>
      <c r="W43" s="5">
        <v>11042.75</v>
      </c>
      <c r="X43" s="5">
        <v>15806.869999999999</v>
      </c>
      <c r="Y43" s="5">
        <v>12273</v>
      </c>
      <c r="Z43" s="45">
        <v>0</v>
      </c>
      <c r="AA43" s="5">
        <v>392.89</v>
      </c>
      <c r="AB43" s="5">
        <v>0</v>
      </c>
      <c r="AC43" s="5">
        <v>0</v>
      </c>
      <c r="AD43" s="5">
        <v>2722.48</v>
      </c>
      <c r="AE43" s="5">
        <v>2059.5500000000002</v>
      </c>
      <c r="AF43" s="5">
        <v>6600.9400000000005</v>
      </c>
      <c r="AG43" s="5">
        <v>1034.5</v>
      </c>
      <c r="AH43" s="37">
        <v>0</v>
      </c>
      <c r="AI43" s="37">
        <v>0</v>
      </c>
      <c r="AJ43" s="45">
        <v>0</v>
      </c>
      <c r="AK43" s="5">
        <v>0</v>
      </c>
      <c r="AL43" s="5">
        <v>0</v>
      </c>
    </row>
    <row r="44" spans="1:38" ht="15">
      <c r="A44" s="16">
        <v>45383</v>
      </c>
      <c r="B44" s="5">
        <v>8742.39</v>
      </c>
      <c r="C44" s="5">
        <v>3603.75</v>
      </c>
      <c r="D44" s="5">
        <v>0</v>
      </c>
      <c r="E44" s="5">
        <v>4518.58</v>
      </c>
      <c r="F44" s="5">
        <v>3239.24</v>
      </c>
      <c r="G44" s="5">
        <v>2429.94</v>
      </c>
      <c r="H44" s="37">
        <v>0</v>
      </c>
      <c r="I44" s="5">
        <v>5544.16</v>
      </c>
      <c r="J44" s="5">
        <v>2330.0299999999997</v>
      </c>
      <c r="K44" s="5">
        <v>3581.27</v>
      </c>
      <c r="L44" s="5">
        <v>3007.39</v>
      </c>
      <c r="M44" s="5">
        <v>0</v>
      </c>
      <c r="N44" s="5">
        <v>2717.39</v>
      </c>
      <c r="O44" s="5">
        <v>6904.46</v>
      </c>
      <c r="P44" s="5">
        <v>0</v>
      </c>
      <c r="Q44" s="5">
        <v>1611.65</v>
      </c>
      <c r="R44" s="5">
        <v>1785.29</v>
      </c>
      <c r="S44" s="5">
        <v>3248.13</v>
      </c>
      <c r="T44" s="45">
        <v>0</v>
      </c>
      <c r="U44" s="5">
        <v>1316.12</v>
      </c>
      <c r="V44" s="5">
        <v>6339.67</v>
      </c>
      <c r="W44" s="5">
        <v>8834.2000000000007</v>
      </c>
      <c r="X44" s="5">
        <v>12645.49</v>
      </c>
      <c r="Y44" s="5">
        <v>9818.4000000000015</v>
      </c>
      <c r="Z44" s="45">
        <v>0</v>
      </c>
      <c r="AA44" s="5">
        <v>1571.54</v>
      </c>
      <c r="AB44" s="5">
        <v>1571.54</v>
      </c>
      <c r="AC44" s="5">
        <v>0</v>
      </c>
      <c r="AD44" s="5">
        <v>4215.8599999999997</v>
      </c>
      <c r="AE44" s="5">
        <v>1647.65</v>
      </c>
      <c r="AF44" s="5">
        <v>6892.8</v>
      </c>
      <c r="AG44" s="5">
        <v>827.6</v>
      </c>
      <c r="AH44" s="5">
        <v>382.87</v>
      </c>
      <c r="AI44" s="37">
        <v>0</v>
      </c>
      <c r="AJ44" s="45">
        <v>0</v>
      </c>
      <c r="AK44" s="5">
        <v>0</v>
      </c>
      <c r="AL44" s="5">
        <v>0</v>
      </c>
    </row>
    <row r="45" spans="1:38" ht="15">
      <c r="A45" s="16">
        <v>45413</v>
      </c>
      <c r="B45" s="5">
        <v>9773.39</v>
      </c>
      <c r="C45" s="5">
        <v>4033.88</v>
      </c>
      <c r="D45" s="5">
        <v>0</v>
      </c>
      <c r="E45" s="5">
        <v>5083.3999999999996</v>
      </c>
      <c r="F45" s="5">
        <v>3619.4700000000003</v>
      </c>
      <c r="G45" s="5">
        <v>2681.31</v>
      </c>
      <c r="H45" s="37">
        <v>0</v>
      </c>
      <c r="I45" s="5">
        <v>6211.55</v>
      </c>
      <c r="J45" s="5">
        <v>2560.4700000000003</v>
      </c>
      <c r="K45" s="5">
        <v>4024.1</v>
      </c>
      <c r="L45" s="5">
        <v>3376.2200000000003</v>
      </c>
      <c r="M45" s="5">
        <v>0</v>
      </c>
      <c r="N45" s="5">
        <v>3038.54</v>
      </c>
      <c r="O45" s="5">
        <v>7718.21</v>
      </c>
      <c r="P45" s="5">
        <v>0</v>
      </c>
      <c r="Q45" s="5">
        <v>1810.38</v>
      </c>
      <c r="R45" s="5">
        <v>2001.79</v>
      </c>
      <c r="S45" s="5">
        <v>3630.27</v>
      </c>
      <c r="T45" s="45">
        <v>0</v>
      </c>
      <c r="U45" s="5">
        <v>1480.6399999999999</v>
      </c>
      <c r="V45" s="5">
        <v>7088.58</v>
      </c>
      <c r="W45" s="5">
        <v>9880.630000000001</v>
      </c>
      <c r="X45" s="5">
        <v>13980.9</v>
      </c>
      <c r="Y45" s="5">
        <v>10986.119999999999</v>
      </c>
      <c r="Z45" s="45">
        <v>0</v>
      </c>
      <c r="AA45" s="5">
        <v>1964.43</v>
      </c>
      <c r="AB45" s="5">
        <v>1571.54</v>
      </c>
      <c r="AC45" s="5">
        <v>0</v>
      </c>
      <c r="AD45" s="5">
        <v>4742.8500000000004</v>
      </c>
      <c r="AE45" s="5">
        <v>1852.9199999999998</v>
      </c>
      <c r="AF45" s="5">
        <v>7754.41</v>
      </c>
      <c r="AG45" s="5">
        <v>827.6</v>
      </c>
      <c r="AH45" s="5">
        <v>382.87</v>
      </c>
      <c r="AI45" s="37">
        <v>0</v>
      </c>
      <c r="AJ45" s="45">
        <v>0</v>
      </c>
      <c r="AK45" s="5">
        <v>0</v>
      </c>
      <c r="AL45" s="5">
        <v>0</v>
      </c>
    </row>
    <row r="46" spans="1:38" ht="15">
      <c r="A46" s="16">
        <v>45444</v>
      </c>
      <c r="B46" s="5">
        <v>10927.98</v>
      </c>
      <c r="C46" s="5">
        <v>4504.6900000000005</v>
      </c>
      <c r="D46" s="5">
        <v>0</v>
      </c>
      <c r="E46" s="5">
        <v>5648.22</v>
      </c>
      <c r="F46" s="5">
        <v>4049.04</v>
      </c>
      <c r="G46" s="5">
        <v>3037.42</v>
      </c>
      <c r="H46" s="37">
        <v>0</v>
      </c>
      <c r="I46" s="5">
        <v>6930.2</v>
      </c>
      <c r="J46" s="5">
        <v>2912.54</v>
      </c>
      <c r="K46" s="5">
        <v>4476.58</v>
      </c>
      <c r="L46" s="5">
        <v>3759.23</v>
      </c>
      <c r="M46" s="5">
        <v>0</v>
      </c>
      <c r="N46" s="5">
        <v>3396.73</v>
      </c>
      <c r="O46" s="5">
        <v>8630.57</v>
      </c>
      <c r="P46" s="5">
        <v>0</v>
      </c>
      <c r="Q46" s="5">
        <v>2014.56</v>
      </c>
      <c r="R46" s="5">
        <v>2231.6099999999997</v>
      </c>
      <c r="S46" s="5">
        <v>4060.17</v>
      </c>
      <c r="T46" s="45">
        <v>0</v>
      </c>
      <c r="U46" s="5">
        <v>1645.16</v>
      </c>
      <c r="V46" s="5">
        <v>7924.58</v>
      </c>
      <c r="W46" s="5">
        <v>11042.75</v>
      </c>
      <c r="X46" s="5">
        <v>15806.869999999999</v>
      </c>
      <c r="Y46" s="5">
        <v>12273</v>
      </c>
      <c r="Z46" s="45">
        <v>0</v>
      </c>
      <c r="AA46" s="5">
        <v>1964.43</v>
      </c>
      <c r="AB46" s="5">
        <v>1964.43</v>
      </c>
      <c r="AC46" s="5">
        <v>0</v>
      </c>
      <c r="AD46" s="5">
        <v>5269.84</v>
      </c>
      <c r="AE46" s="5">
        <v>2059.5500000000002</v>
      </c>
      <c r="AF46" s="5">
        <v>8616.02</v>
      </c>
      <c r="AG46" s="5">
        <v>1034.5</v>
      </c>
      <c r="AH46" s="5">
        <v>382.87</v>
      </c>
      <c r="AI46" s="37">
        <v>0</v>
      </c>
      <c r="AJ46" s="45">
        <v>0</v>
      </c>
      <c r="AK46" s="5">
        <v>0</v>
      </c>
      <c r="AL46" s="5">
        <v>0</v>
      </c>
    </row>
    <row r="47" spans="1:38" ht="15">
      <c r="A47" s="16">
        <v>45474</v>
      </c>
      <c r="B47" s="5">
        <v>11929.099999999999</v>
      </c>
      <c r="C47" s="5">
        <v>4678.92</v>
      </c>
      <c r="D47" s="5">
        <v>0</v>
      </c>
      <c r="E47" s="5">
        <v>5535.27</v>
      </c>
      <c r="F47" s="5">
        <v>4303.41</v>
      </c>
      <c r="G47" s="5">
        <v>2440.37</v>
      </c>
      <c r="H47" s="37">
        <v>0</v>
      </c>
      <c r="I47" s="5">
        <v>3227.29</v>
      </c>
      <c r="J47" s="5">
        <v>3181.75</v>
      </c>
      <c r="K47" s="5">
        <v>4917.7700000000004</v>
      </c>
      <c r="L47" s="5">
        <v>4132.79</v>
      </c>
      <c r="M47" s="5">
        <v>0</v>
      </c>
      <c r="N47" s="5">
        <v>5422.0599999999995</v>
      </c>
      <c r="O47" s="5">
        <v>9243.4700000000012</v>
      </c>
      <c r="P47" s="5">
        <v>0</v>
      </c>
      <c r="Q47" s="5">
        <v>2076.77</v>
      </c>
      <c r="R47" s="5">
        <v>2512.2399999999998</v>
      </c>
      <c r="S47" s="5">
        <v>4609.7</v>
      </c>
      <c r="T47" s="45">
        <v>0</v>
      </c>
      <c r="U47" s="5">
        <v>1556.04</v>
      </c>
      <c r="V47" s="5">
        <v>8499.33</v>
      </c>
      <c r="W47" s="5">
        <v>11821.869999999999</v>
      </c>
      <c r="X47" s="5">
        <v>16869.86</v>
      </c>
      <c r="Y47" s="5">
        <v>13202.41</v>
      </c>
      <c r="Z47" s="45">
        <v>0</v>
      </c>
      <c r="AA47" s="37">
        <v>0</v>
      </c>
      <c r="AB47" s="37">
        <v>0</v>
      </c>
      <c r="AC47" s="5">
        <v>0</v>
      </c>
      <c r="AD47" s="5">
        <v>932.73</v>
      </c>
      <c r="AE47" s="5">
        <v>2264.83</v>
      </c>
      <c r="AF47" s="5">
        <v>2231.9699999999998</v>
      </c>
      <c r="AG47" s="5">
        <v>1034.5</v>
      </c>
      <c r="AH47" s="37">
        <v>0</v>
      </c>
      <c r="AI47" s="37">
        <v>0</v>
      </c>
      <c r="AJ47" s="45">
        <v>0</v>
      </c>
      <c r="AK47" s="5">
        <v>0</v>
      </c>
      <c r="AL47" s="5">
        <v>0</v>
      </c>
    </row>
    <row r="48" spans="1:38" ht="15">
      <c r="A48" s="16">
        <v>45505</v>
      </c>
      <c r="B48" s="5">
        <v>8895.75</v>
      </c>
      <c r="C48" s="5">
        <v>3411.8199999999997</v>
      </c>
      <c r="D48" s="5">
        <v>0</v>
      </c>
      <c r="E48" s="5">
        <v>4025.74</v>
      </c>
      <c r="F48" s="5">
        <v>3269.59</v>
      </c>
      <c r="G48" s="5">
        <v>1801.4699999999998</v>
      </c>
      <c r="H48" s="37">
        <v>0</v>
      </c>
      <c r="I48" s="5">
        <v>2350.4899999999998</v>
      </c>
      <c r="J48" s="5">
        <v>2410.81</v>
      </c>
      <c r="K48" s="5">
        <v>3588.01</v>
      </c>
      <c r="L48" s="5">
        <v>3007.39</v>
      </c>
      <c r="M48" s="5">
        <v>0</v>
      </c>
      <c r="N48" s="5">
        <v>3979.59</v>
      </c>
      <c r="O48" s="5">
        <v>6744.03</v>
      </c>
      <c r="P48" s="5">
        <v>0</v>
      </c>
      <c r="Q48" s="5">
        <v>1512.3</v>
      </c>
      <c r="R48" s="5">
        <v>1832.3000000000002</v>
      </c>
      <c r="S48" s="5">
        <v>3370.53</v>
      </c>
      <c r="T48" s="45">
        <v>0</v>
      </c>
      <c r="U48" s="5">
        <v>1133.04</v>
      </c>
      <c r="V48" s="5">
        <v>6200.34</v>
      </c>
      <c r="W48" s="5">
        <v>8620.36</v>
      </c>
      <c r="X48" s="5">
        <v>12427.560000000001</v>
      </c>
      <c r="Y48" s="5">
        <v>9627.75</v>
      </c>
      <c r="Z48" s="45">
        <v>0</v>
      </c>
      <c r="AA48" s="37">
        <v>0</v>
      </c>
      <c r="AB48" s="37">
        <v>0</v>
      </c>
      <c r="AC48" s="5">
        <v>0</v>
      </c>
      <c r="AD48" s="5">
        <v>746.18</v>
      </c>
      <c r="AE48" s="5">
        <v>1647.65</v>
      </c>
      <c r="AF48" s="5">
        <v>1785.57</v>
      </c>
      <c r="AG48" s="5">
        <v>827.6</v>
      </c>
      <c r="AH48" s="37">
        <v>0</v>
      </c>
      <c r="AI48" s="37">
        <v>0</v>
      </c>
      <c r="AJ48" s="45">
        <v>0</v>
      </c>
      <c r="AK48" s="5">
        <v>0</v>
      </c>
      <c r="AL48" s="5">
        <v>0</v>
      </c>
    </row>
    <row r="49" spans="1:38" ht="15">
      <c r="A49" s="16">
        <v>45536</v>
      </c>
      <c r="B49" s="5">
        <v>11119.689999999999</v>
      </c>
      <c r="C49" s="5">
        <v>4264.79</v>
      </c>
      <c r="D49" s="5">
        <v>0</v>
      </c>
      <c r="E49" s="5">
        <v>5032.18</v>
      </c>
      <c r="F49" s="5">
        <v>4086.99</v>
      </c>
      <c r="G49" s="5">
        <v>2251.84</v>
      </c>
      <c r="H49" s="37">
        <v>0</v>
      </c>
      <c r="I49" s="5">
        <v>2938.12</v>
      </c>
      <c r="J49" s="5">
        <v>3013.51</v>
      </c>
      <c r="K49" s="5">
        <v>4485.0200000000004</v>
      </c>
      <c r="L49" s="5">
        <v>3759.23</v>
      </c>
      <c r="M49" s="5">
        <v>0</v>
      </c>
      <c r="N49" s="5">
        <v>4974.49</v>
      </c>
      <c r="O49" s="5">
        <v>8430.0400000000009</v>
      </c>
      <c r="P49" s="5">
        <v>0</v>
      </c>
      <c r="Q49" s="5">
        <v>1890.38</v>
      </c>
      <c r="R49" s="5">
        <v>2290.37</v>
      </c>
      <c r="S49" s="5">
        <v>4213.17</v>
      </c>
      <c r="T49" s="45">
        <v>0</v>
      </c>
      <c r="U49" s="5">
        <v>1416.31</v>
      </c>
      <c r="V49" s="5">
        <v>7750.41</v>
      </c>
      <c r="W49" s="5">
        <v>10775.45</v>
      </c>
      <c r="X49" s="5">
        <v>15534.45</v>
      </c>
      <c r="Y49" s="5">
        <v>12034.689999999999</v>
      </c>
      <c r="Z49" s="45">
        <v>0</v>
      </c>
      <c r="AA49" s="37">
        <v>0</v>
      </c>
      <c r="AB49" s="37">
        <v>0</v>
      </c>
      <c r="AC49" s="5">
        <v>0</v>
      </c>
      <c r="AD49" s="5">
        <v>932.73</v>
      </c>
      <c r="AE49" s="5">
        <v>2059.5500000000002</v>
      </c>
      <c r="AF49" s="5">
        <v>2231.9699999999998</v>
      </c>
      <c r="AG49" s="5">
        <v>1034.5</v>
      </c>
      <c r="AH49" s="37">
        <v>0</v>
      </c>
      <c r="AI49" s="37">
        <v>0</v>
      </c>
      <c r="AJ49" s="45">
        <v>0</v>
      </c>
      <c r="AK49" s="5">
        <v>0</v>
      </c>
      <c r="AL49" s="5">
        <v>0</v>
      </c>
    </row>
    <row r="50" spans="1:38" ht="15">
      <c r="A50" s="16">
        <v>45566</v>
      </c>
      <c r="B50" s="5">
        <v>9773.65</v>
      </c>
      <c r="C50" s="5">
        <v>4033.88</v>
      </c>
      <c r="D50" s="5">
        <v>0</v>
      </c>
      <c r="E50" s="5">
        <v>5095.17</v>
      </c>
      <c r="F50" s="5">
        <v>3619.71</v>
      </c>
      <c r="G50" s="5">
        <v>2681.31</v>
      </c>
      <c r="H50" s="37">
        <v>0</v>
      </c>
      <c r="I50" s="5">
        <v>2639.66</v>
      </c>
      <c r="J50" s="5">
        <v>2560.4700000000003</v>
      </c>
      <c r="K50" s="5">
        <v>4024.1</v>
      </c>
      <c r="L50" s="5">
        <v>3376.2200000000003</v>
      </c>
      <c r="M50" s="5">
        <v>0</v>
      </c>
      <c r="N50" s="5">
        <v>4532.6000000000004</v>
      </c>
      <c r="O50" s="5">
        <v>7715.4</v>
      </c>
      <c r="P50" s="5">
        <v>0</v>
      </c>
      <c r="Q50" s="5">
        <v>1782.22</v>
      </c>
      <c r="R50" s="5">
        <v>2014.4099999999999</v>
      </c>
      <c r="S50" s="5">
        <v>3767.07</v>
      </c>
      <c r="T50" s="45">
        <v>0</v>
      </c>
      <c r="U50" s="5">
        <v>1516.2399999999998</v>
      </c>
      <c r="V50" s="5">
        <v>7088.58</v>
      </c>
      <c r="W50" s="5">
        <v>9880.630000000001</v>
      </c>
      <c r="X50" s="5">
        <v>13980.9</v>
      </c>
      <c r="Y50" s="5">
        <v>10986.119999999999</v>
      </c>
      <c r="Z50" s="45">
        <v>0</v>
      </c>
      <c r="AA50" s="37">
        <v>0</v>
      </c>
      <c r="AB50" s="37">
        <v>0</v>
      </c>
      <c r="AC50" s="5">
        <v>0</v>
      </c>
      <c r="AD50" s="5">
        <v>2195.4899999999998</v>
      </c>
      <c r="AE50" s="5">
        <v>1852.9199999999998</v>
      </c>
      <c r="AF50" s="5">
        <v>5739.34</v>
      </c>
      <c r="AG50" s="5">
        <v>827.6</v>
      </c>
      <c r="AH50" s="5">
        <v>382.87</v>
      </c>
      <c r="AI50" s="37">
        <v>0</v>
      </c>
      <c r="AJ50" s="45">
        <v>0</v>
      </c>
      <c r="AK50" s="5">
        <v>0</v>
      </c>
      <c r="AL50" s="5">
        <v>0</v>
      </c>
    </row>
    <row r="51" spans="1:38" ht="15">
      <c r="A51" s="16">
        <v>45597</v>
      </c>
      <c r="B51" s="5">
        <v>9773.7200000000012</v>
      </c>
      <c r="C51" s="5">
        <v>4033.88</v>
      </c>
      <c r="D51" s="5">
        <v>0</v>
      </c>
      <c r="E51" s="5">
        <v>5095.1000000000004</v>
      </c>
      <c r="F51" s="5">
        <v>3619.71</v>
      </c>
      <c r="G51" s="5">
        <v>2681.31</v>
      </c>
      <c r="H51" s="37">
        <v>0</v>
      </c>
      <c r="I51" s="5">
        <v>2639.8</v>
      </c>
      <c r="J51" s="5">
        <v>2560.4700000000003</v>
      </c>
      <c r="K51" s="5">
        <v>4024.1</v>
      </c>
      <c r="L51" s="5">
        <v>3376.2200000000003</v>
      </c>
      <c r="M51" s="5">
        <v>0</v>
      </c>
      <c r="N51" s="5">
        <v>4532.6000000000004</v>
      </c>
      <c r="O51" s="5">
        <v>7717.58</v>
      </c>
      <c r="P51" s="5">
        <v>0</v>
      </c>
      <c r="Q51" s="5">
        <v>1782.22</v>
      </c>
      <c r="R51" s="5">
        <v>2014.4099999999999</v>
      </c>
      <c r="S51" s="5">
        <v>3660.87</v>
      </c>
      <c r="T51" s="45">
        <v>0</v>
      </c>
      <c r="U51" s="5">
        <v>1516.2399999999998</v>
      </c>
      <c r="V51" s="5">
        <v>7088.58</v>
      </c>
      <c r="W51" s="5">
        <v>9880.630000000001</v>
      </c>
      <c r="X51" s="5">
        <v>13980.9</v>
      </c>
      <c r="Y51" s="5">
        <v>10986.119999999999</v>
      </c>
      <c r="Z51" s="45">
        <v>0</v>
      </c>
      <c r="AA51" s="37">
        <v>0</v>
      </c>
      <c r="AB51" s="37">
        <v>0</v>
      </c>
      <c r="AC51" s="5">
        <v>0</v>
      </c>
      <c r="AD51" s="5">
        <v>2195.4899999999998</v>
      </c>
      <c r="AE51" s="5">
        <v>1852.9199999999998</v>
      </c>
      <c r="AF51" s="5">
        <v>5739.34</v>
      </c>
      <c r="AG51" s="5">
        <v>827.6</v>
      </c>
      <c r="AH51" s="37">
        <v>0</v>
      </c>
      <c r="AI51" s="37">
        <v>0</v>
      </c>
      <c r="AJ51" s="45">
        <v>0</v>
      </c>
      <c r="AK51" s="5">
        <v>0</v>
      </c>
      <c r="AL51" s="5">
        <v>0</v>
      </c>
    </row>
    <row r="52" spans="1:38" ht="15">
      <c r="A52" s="16">
        <v>45627</v>
      </c>
      <c r="B52" s="5">
        <v>12013.89</v>
      </c>
      <c r="C52" s="5">
        <v>4956.93</v>
      </c>
      <c r="D52" s="5">
        <v>0</v>
      </c>
      <c r="E52" s="5">
        <v>6227.32</v>
      </c>
      <c r="F52" s="5">
        <v>4447.18</v>
      </c>
      <c r="G52" s="5">
        <v>3304.83</v>
      </c>
      <c r="H52" s="37">
        <v>0</v>
      </c>
      <c r="I52" s="5">
        <v>3246.8100000000004</v>
      </c>
      <c r="J52" s="5">
        <v>3162.17</v>
      </c>
      <c r="K52" s="5">
        <v>4948.3500000000004</v>
      </c>
      <c r="L52" s="5">
        <v>4152.4699999999993</v>
      </c>
      <c r="M52" s="5">
        <v>0</v>
      </c>
      <c r="N52" s="5">
        <v>5583.16</v>
      </c>
      <c r="O52" s="5">
        <v>9483.33</v>
      </c>
      <c r="P52" s="5">
        <v>0</v>
      </c>
      <c r="Q52" s="5">
        <v>2178.87</v>
      </c>
      <c r="R52" s="5">
        <v>2474.25</v>
      </c>
      <c r="S52" s="5">
        <v>4476.49</v>
      </c>
      <c r="T52" s="45">
        <v>0</v>
      </c>
      <c r="U52" s="5">
        <v>1853.6</v>
      </c>
      <c r="V52" s="5">
        <v>8700.0499999999993</v>
      </c>
      <c r="W52" s="5">
        <v>12135.6</v>
      </c>
      <c r="X52" s="5">
        <v>17181.34</v>
      </c>
      <c r="Y52" s="5">
        <v>13479.130000000001</v>
      </c>
      <c r="Z52" s="45">
        <v>0</v>
      </c>
      <c r="AA52" s="37">
        <v>0</v>
      </c>
      <c r="AB52" s="37">
        <v>0</v>
      </c>
      <c r="AC52" s="5">
        <v>0</v>
      </c>
      <c r="AD52" s="5">
        <v>2683.38</v>
      </c>
      <c r="AE52" s="5">
        <v>2264.83</v>
      </c>
      <c r="AF52" s="5">
        <v>7014.75</v>
      </c>
      <c r="AG52" s="5">
        <v>1034.5</v>
      </c>
      <c r="AH52" s="37">
        <v>0</v>
      </c>
      <c r="AI52" s="37">
        <v>0</v>
      </c>
      <c r="AJ52" s="45">
        <v>0</v>
      </c>
      <c r="AK52" s="5">
        <v>0</v>
      </c>
      <c r="AL52" s="5">
        <v>0</v>
      </c>
    </row>
    <row r="57" spans="1:38" ht="15">
      <c r="A57" s="63" t="s">
        <v>4</v>
      </c>
      <c r="B57" s="63"/>
      <c r="C57" s="63"/>
      <c r="D57" s="63"/>
      <c r="E57" s="63"/>
    </row>
    <row r="58" spans="1:38" ht="15">
      <c r="A58" s="16">
        <v>44197</v>
      </c>
      <c r="B58" s="6">
        <v>2236.8000000000002</v>
      </c>
      <c r="C58" s="6">
        <v>2456.1</v>
      </c>
      <c r="D58" s="6">
        <v>3395.58</v>
      </c>
      <c r="E58" s="6">
        <v>2111.58</v>
      </c>
      <c r="F58" s="6">
        <v>1643.34</v>
      </c>
      <c r="G58" s="6">
        <v>1106.8800000000001</v>
      </c>
      <c r="H58" s="33">
        <v>0</v>
      </c>
      <c r="I58" s="6">
        <v>1559.16</v>
      </c>
      <c r="J58" s="6">
        <v>1707.72</v>
      </c>
      <c r="K58" s="6">
        <v>1918.5</v>
      </c>
      <c r="L58" s="6">
        <v>2026.8</v>
      </c>
      <c r="M58" s="6">
        <v>1995.6</v>
      </c>
      <c r="N58" s="6">
        <v>2892.6</v>
      </c>
      <c r="O58" s="6">
        <v>2607.36</v>
      </c>
      <c r="P58" s="6">
        <v>1720.2</v>
      </c>
      <c r="Q58" s="6">
        <v>1088.58</v>
      </c>
      <c r="R58" s="6">
        <v>1307.94</v>
      </c>
      <c r="S58" s="6">
        <v>2330.2199999999998</v>
      </c>
      <c r="T58" s="42">
        <v>0</v>
      </c>
      <c r="U58" s="7">
        <v>759.24</v>
      </c>
      <c r="V58" s="6">
        <v>4372.32</v>
      </c>
      <c r="W58" s="6">
        <v>5707.5</v>
      </c>
      <c r="X58" s="6">
        <v>7440.96</v>
      </c>
      <c r="Y58" s="6">
        <v>6752.64</v>
      </c>
      <c r="Z58" s="7">
        <v>0</v>
      </c>
      <c r="AA58" s="7">
        <v>0</v>
      </c>
      <c r="AB58" s="7">
        <v>0</v>
      </c>
      <c r="AC58" s="6">
        <v>1065.8399999999999</v>
      </c>
      <c r="AD58" s="7">
        <v>0</v>
      </c>
      <c r="AE58" s="7">
        <v>705.72</v>
      </c>
      <c r="AF58" s="7">
        <v>475.74</v>
      </c>
      <c r="AG58" s="7">
        <v>0</v>
      </c>
      <c r="AH58" s="33">
        <v>0</v>
      </c>
      <c r="AI58" s="33">
        <v>0</v>
      </c>
      <c r="AJ58" s="42">
        <v>0</v>
      </c>
      <c r="AK58" s="42">
        <v>0</v>
      </c>
      <c r="AL58" s="7">
        <v>0</v>
      </c>
    </row>
    <row r="59" spans="1:38" ht="15">
      <c r="A59" s="16">
        <v>44228</v>
      </c>
      <c r="B59" s="6">
        <v>1491.2</v>
      </c>
      <c r="C59" s="6">
        <v>1637.4</v>
      </c>
      <c r="D59" s="6">
        <v>2263.7199999999998</v>
      </c>
      <c r="E59" s="6">
        <v>1407.72</v>
      </c>
      <c r="F59" s="6">
        <v>1095.56</v>
      </c>
      <c r="G59" s="7">
        <v>737.92</v>
      </c>
      <c r="H59" s="33">
        <v>0</v>
      </c>
      <c r="I59" s="6">
        <v>1039.44</v>
      </c>
      <c r="J59" s="6">
        <v>1138.48</v>
      </c>
      <c r="K59" s="6">
        <v>1279</v>
      </c>
      <c r="L59" s="6">
        <v>1351.2</v>
      </c>
      <c r="M59" s="6">
        <v>1330.4</v>
      </c>
      <c r="N59" s="6">
        <v>1928.4</v>
      </c>
      <c r="O59" s="6">
        <v>1738.24</v>
      </c>
      <c r="P59" s="6">
        <v>1146.8</v>
      </c>
      <c r="Q59" s="7">
        <v>725.72</v>
      </c>
      <c r="R59" s="7">
        <v>871.96</v>
      </c>
      <c r="S59" s="6">
        <v>1553.48</v>
      </c>
      <c r="T59" s="42">
        <v>0</v>
      </c>
      <c r="U59" s="7">
        <v>506.16</v>
      </c>
      <c r="V59" s="6">
        <v>2914.88</v>
      </c>
      <c r="W59" s="6">
        <v>3805</v>
      </c>
      <c r="X59" s="6">
        <v>4960.6400000000003</v>
      </c>
      <c r="Y59" s="6">
        <v>4501.76</v>
      </c>
      <c r="Z59" s="7">
        <v>0</v>
      </c>
      <c r="AA59" s="7">
        <v>0</v>
      </c>
      <c r="AB59" s="7">
        <v>0</v>
      </c>
      <c r="AC59" s="7">
        <v>710.56</v>
      </c>
      <c r="AD59" s="7">
        <v>0</v>
      </c>
      <c r="AE59" s="7">
        <v>470.48</v>
      </c>
      <c r="AF59" s="7">
        <v>317.16000000000003</v>
      </c>
      <c r="AG59" s="7">
        <v>0</v>
      </c>
      <c r="AH59" s="33">
        <v>0</v>
      </c>
      <c r="AI59" s="33">
        <v>0</v>
      </c>
      <c r="AJ59" s="42">
        <v>0</v>
      </c>
      <c r="AK59" s="42">
        <v>0</v>
      </c>
      <c r="AL59" s="7">
        <v>0</v>
      </c>
    </row>
    <row r="60" spans="1:38" ht="15">
      <c r="A60" s="16">
        <v>44256</v>
      </c>
      <c r="B60" s="6">
        <v>1491.2</v>
      </c>
      <c r="C60" s="6">
        <v>1637.4</v>
      </c>
      <c r="D60" s="6">
        <v>2263.7199999999998</v>
      </c>
      <c r="E60" s="6">
        <v>1407.72</v>
      </c>
      <c r="F60" s="6">
        <v>1095.56</v>
      </c>
      <c r="G60" s="7">
        <v>737.92</v>
      </c>
      <c r="H60" s="33">
        <v>0</v>
      </c>
      <c r="I60" s="6">
        <v>1039.44</v>
      </c>
      <c r="J60" s="6">
        <v>1138.48</v>
      </c>
      <c r="K60" s="6">
        <v>1279</v>
      </c>
      <c r="L60" s="6">
        <v>1351.2</v>
      </c>
      <c r="M60" s="6">
        <v>1330.4</v>
      </c>
      <c r="N60" s="6">
        <v>1928.4</v>
      </c>
      <c r="O60" s="6">
        <v>1738.24</v>
      </c>
      <c r="P60" s="6">
        <v>1146.8</v>
      </c>
      <c r="Q60" s="7">
        <v>725.72</v>
      </c>
      <c r="R60" s="7">
        <v>871.96</v>
      </c>
      <c r="S60" s="6">
        <v>1553.48</v>
      </c>
      <c r="T60" s="42">
        <v>0</v>
      </c>
      <c r="U60" s="7">
        <v>506.16</v>
      </c>
      <c r="V60" s="6">
        <v>2914.88</v>
      </c>
      <c r="W60" s="6">
        <v>3805</v>
      </c>
      <c r="X60" s="6">
        <v>4960.6400000000003</v>
      </c>
      <c r="Y60" s="6">
        <v>4501.76</v>
      </c>
      <c r="Z60" s="7">
        <v>0</v>
      </c>
      <c r="AA60" s="7">
        <v>0</v>
      </c>
      <c r="AB60" s="7">
        <v>0</v>
      </c>
      <c r="AC60" s="7">
        <v>710.56</v>
      </c>
      <c r="AD60" s="7">
        <v>0</v>
      </c>
      <c r="AE60" s="7">
        <v>470.48</v>
      </c>
      <c r="AF60" s="7">
        <v>317.16000000000003</v>
      </c>
      <c r="AG60" s="7">
        <v>0</v>
      </c>
      <c r="AH60" s="33">
        <v>0</v>
      </c>
      <c r="AI60" s="33">
        <v>0</v>
      </c>
      <c r="AJ60" s="42">
        <v>0</v>
      </c>
      <c r="AK60" s="42">
        <v>0</v>
      </c>
      <c r="AL60" s="7">
        <v>0</v>
      </c>
    </row>
    <row r="61" spans="1:38" ht="15">
      <c r="A61" s="16">
        <v>44287</v>
      </c>
      <c r="B61" s="6">
        <v>1491.2</v>
      </c>
      <c r="C61" s="6">
        <v>1637.4</v>
      </c>
      <c r="D61" s="6">
        <v>2263.7199999999998</v>
      </c>
      <c r="E61" s="6">
        <v>1407.72</v>
      </c>
      <c r="F61" s="6">
        <v>1095.56</v>
      </c>
      <c r="G61" s="7">
        <v>737.92</v>
      </c>
      <c r="H61" s="33">
        <v>0</v>
      </c>
      <c r="I61" s="6">
        <v>1039.44</v>
      </c>
      <c r="J61" s="6">
        <v>1138.48</v>
      </c>
      <c r="K61" s="6">
        <v>1279</v>
      </c>
      <c r="L61" s="6">
        <v>1351.2</v>
      </c>
      <c r="M61" s="7">
        <v>948.24</v>
      </c>
      <c r="N61" s="6">
        <v>1928.4</v>
      </c>
      <c r="O61" s="6">
        <v>2289.8200000000002</v>
      </c>
      <c r="P61" s="7">
        <v>946.12</v>
      </c>
      <c r="Q61" s="7">
        <v>725.72</v>
      </c>
      <c r="R61" s="7">
        <v>871.96</v>
      </c>
      <c r="S61" s="6">
        <v>1619.28</v>
      </c>
      <c r="T61" s="42">
        <v>0</v>
      </c>
      <c r="U61" s="7">
        <v>506.16</v>
      </c>
      <c r="V61" s="6">
        <v>2914.88</v>
      </c>
      <c r="W61" s="6">
        <v>3803.8</v>
      </c>
      <c r="X61" s="6">
        <v>4955.3599999999997</v>
      </c>
      <c r="Y61" s="6">
        <v>4501.76</v>
      </c>
      <c r="Z61" s="7">
        <v>0</v>
      </c>
      <c r="AA61" s="7">
        <v>0</v>
      </c>
      <c r="AB61" s="7">
        <v>0</v>
      </c>
      <c r="AC61" s="7">
        <v>355.28</v>
      </c>
      <c r="AD61" s="7">
        <v>0</v>
      </c>
      <c r="AE61" s="7">
        <v>470.48</v>
      </c>
      <c r="AF61" s="7">
        <v>466.9</v>
      </c>
      <c r="AG61" s="7">
        <v>0</v>
      </c>
      <c r="AH61" s="33">
        <v>0</v>
      </c>
      <c r="AI61" s="33">
        <v>0</v>
      </c>
      <c r="AJ61" s="42">
        <v>0</v>
      </c>
      <c r="AK61" s="42">
        <v>0</v>
      </c>
      <c r="AL61" s="7">
        <v>0</v>
      </c>
    </row>
    <row r="62" spans="1:38" ht="15">
      <c r="A62" s="16">
        <v>44317</v>
      </c>
      <c r="B62" s="6">
        <v>1864</v>
      </c>
      <c r="C62" s="6">
        <v>2046.75</v>
      </c>
      <c r="D62" s="6">
        <v>2829.65</v>
      </c>
      <c r="E62" s="6">
        <v>1759.65</v>
      </c>
      <c r="F62" s="6">
        <v>1369.45</v>
      </c>
      <c r="G62" s="7">
        <v>922.4</v>
      </c>
      <c r="H62" s="33">
        <v>0</v>
      </c>
      <c r="I62" s="6">
        <v>1299.3</v>
      </c>
      <c r="J62" s="6">
        <v>1423.1</v>
      </c>
      <c r="K62" s="6">
        <v>1598.75</v>
      </c>
      <c r="L62" s="6">
        <v>1689</v>
      </c>
      <c r="M62" s="7">
        <v>707.6</v>
      </c>
      <c r="N62" s="6">
        <v>2410.5</v>
      </c>
      <c r="O62" s="6">
        <v>3551.75</v>
      </c>
      <c r="P62" s="7">
        <v>931.8</v>
      </c>
      <c r="Q62" s="7">
        <v>907.15</v>
      </c>
      <c r="R62" s="6">
        <v>1089.95</v>
      </c>
      <c r="S62" s="6">
        <v>2106.35</v>
      </c>
      <c r="T62" s="42">
        <v>0</v>
      </c>
      <c r="U62" s="7">
        <v>632.70000000000005</v>
      </c>
      <c r="V62" s="6">
        <v>3643.6</v>
      </c>
      <c r="W62" s="6">
        <v>4753.25</v>
      </c>
      <c r="X62" s="6">
        <v>6187.6</v>
      </c>
      <c r="Y62" s="6">
        <v>5627.2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588.1</v>
      </c>
      <c r="AF62" s="7">
        <v>770.8</v>
      </c>
      <c r="AG62" s="7">
        <v>0</v>
      </c>
      <c r="AH62" s="33">
        <v>0</v>
      </c>
      <c r="AI62" s="33">
        <v>0</v>
      </c>
      <c r="AJ62" s="42">
        <v>0</v>
      </c>
      <c r="AK62" s="7">
        <v>0</v>
      </c>
      <c r="AL62" s="7">
        <v>0</v>
      </c>
    </row>
    <row r="63" spans="1:38" ht="15">
      <c r="A63" s="16">
        <v>44348</v>
      </c>
      <c r="B63" s="6">
        <v>1491.2</v>
      </c>
      <c r="C63" s="6">
        <v>1637.4</v>
      </c>
      <c r="D63" s="6">
        <v>2263.7199999999998</v>
      </c>
      <c r="E63" s="6">
        <v>1407.72</v>
      </c>
      <c r="F63" s="6">
        <v>1095.56</v>
      </c>
      <c r="G63" s="7">
        <v>737.92</v>
      </c>
      <c r="H63" s="33">
        <v>0</v>
      </c>
      <c r="I63" s="6">
        <v>1039.44</v>
      </c>
      <c r="J63" s="6">
        <v>1138.48</v>
      </c>
      <c r="K63" s="6">
        <v>1279</v>
      </c>
      <c r="L63" s="6">
        <v>1351.2</v>
      </c>
      <c r="M63" s="7">
        <v>566.08000000000004</v>
      </c>
      <c r="N63" s="6">
        <v>1928.4</v>
      </c>
      <c r="O63" s="6">
        <v>2841.4</v>
      </c>
      <c r="P63" s="7">
        <v>745.44</v>
      </c>
      <c r="Q63" s="7">
        <v>725.72</v>
      </c>
      <c r="R63" s="7">
        <v>871.96</v>
      </c>
      <c r="S63" s="6">
        <v>1685.08</v>
      </c>
      <c r="T63" s="42">
        <v>0</v>
      </c>
      <c r="U63" s="7">
        <v>506.16</v>
      </c>
      <c r="V63" s="6">
        <v>2914.88</v>
      </c>
      <c r="W63" s="6">
        <v>3802.6</v>
      </c>
      <c r="X63" s="6">
        <v>4950.08</v>
      </c>
      <c r="Y63" s="6">
        <v>4501.76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470.48</v>
      </c>
      <c r="AF63" s="7">
        <v>616.64</v>
      </c>
      <c r="AG63" s="7">
        <v>0</v>
      </c>
      <c r="AH63" s="33">
        <v>0</v>
      </c>
      <c r="AI63" s="33">
        <v>0</v>
      </c>
      <c r="AJ63" s="42">
        <v>0</v>
      </c>
      <c r="AK63" s="7">
        <v>0</v>
      </c>
      <c r="AL63" s="7">
        <v>0</v>
      </c>
    </row>
    <row r="64" spans="1:38" ht="15">
      <c r="A64" s="16">
        <v>44378</v>
      </c>
      <c r="B64" s="6">
        <v>1864</v>
      </c>
      <c r="C64" s="6">
        <v>2046.75</v>
      </c>
      <c r="D64" s="6">
        <v>2829.65</v>
      </c>
      <c r="E64" s="6">
        <v>1759.65</v>
      </c>
      <c r="F64" s="6">
        <v>1369.45</v>
      </c>
      <c r="G64" s="7">
        <v>922.4</v>
      </c>
      <c r="H64" s="33">
        <v>0</v>
      </c>
      <c r="I64" s="6">
        <v>1299.3</v>
      </c>
      <c r="J64" s="6">
        <v>1423.1</v>
      </c>
      <c r="K64" s="6">
        <v>1598.75</v>
      </c>
      <c r="L64" s="6">
        <v>1689</v>
      </c>
      <c r="M64" s="7">
        <v>707.6</v>
      </c>
      <c r="N64" s="6">
        <v>2410.5</v>
      </c>
      <c r="O64" s="6">
        <v>3551.75</v>
      </c>
      <c r="P64" s="7">
        <v>931.8</v>
      </c>
      <c r="Q64" s="7">
        <v>907.15</v>
      </c>
      <c r="R64" s="6">
        <v>1089.95</v>
      </c>
      <c r="S64" s="6">
        <v>2106.35</v>
      </c>
      <c r="T64" s="42">
        <v>0</v>
      </c>
      <c r="U64" s="7">
        <v>632.70000000000005</v>
      </c>
      <c r="V64" s="6">
        <v>3643.6</v>
      </c>
      <c r="W64" s="6">
        <v>4753.25</v>
      </c>
      <c r="X64" s="6">
        <v>6187.6</v>
      </c>
      <c r="Y64" s="6">
        <v>5627.2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588.1</v>
      </c>
      <c r="AF64" s="7">
        <v>770.8</v>
      </c>
      <c r="AG64" s="7">
        <v>0</v>
      </c>
      <c r="AH64" s="33">
        <v>0</v>
      </c>
      <c r="AI64" s="33">
        <v>0</v>
      </c>
      <c r="AJ64" s="42">
        <v>0</v>
      </c>
      <c r="AK64" s="7">
        <v>0</v>
      </c>
      <c r="AL64" s="7">
        <v>0</v>
      </c>
    </row>
    <row r="65" spans="1:38" ht="15">
      <c r="A65" s="16">
        <v>44409</v>
      </c>
      <c r="B65" s="6">
        <v>1491.2</v>
      </c>
      <c r="C65" s="6">
        <v>1637.4</v>
      </c>
      <c r="D65" s="6">
        <v>2263.7199999999998</v>
      </c>
      <c r="E65" s="6">
        <v>1407.72</v>
      </c>
      <c r="F65" s="6">
        <v>1095.56</v>
      </c>
      <c r="G65" s="7">
        <v>737.92</v>
      </c>
      <c r="H65" s="33">
        <v>0</v>
      </c>
      <c r="I65" s="6">
        <v>1039.44</v>
      </c>
      <c r="J65" s="6">
        <v>1138.48</v>
      </c>
      <c r="K65" s="6">
        <v>1279</v>
      </c>
      <c r="L65" s="6">
        <v>1351.2</v>
      </c>
      <c r="M65" s="7">
        <v>566.08000000000004</v>
      </c>
      <c r="N65" s="6">
        <v>1928.4</v>
      </c>
      <c r="O65" s="6">
        <v>2841.4</v>
      </c>
      <c r="P65" s="7">
        <v>745.44</v>
      </c>
      <c r="Q65" s="7">
        <v>725.72</v>
      </c>
      <c r="R65" s="7">
        <v>871.96</v>
      </c>
      <c r="S65" s="6">
        <v>1685.08</v>
      </c>
      <c r="T65" s="42">
        <v>0</v>
      </c>
      <c r="U65" s="7">
        <v>506.16</v>
      </c>
      <c r="V65" s="6">
        <v>2914.88</v>
      </c>
      <c r="W65" s="6">
        <v>3802.6</v>
      </c>
      <c r="X65" s="6">
        <v>4950.08</v>
      </c>
      <c r="Y65" s="6">
        <v>4501.76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470.48</v>
      </c>
      <c r="AF65" s="7">
        <v>616.64</v>
      </c>
      <c r="AG65" s="7">
        <v>0</v>
      </c>
      <c r="AH65" s="33">
        <v>0</v>
      </c>
      <c r="AI65" s="33">
        <v>0</v>
      </c>
      <c r="AJ65" s="42">
        <v>0</v>
      </c>
      <c r="AK65" s="7">
        <v>0</v>
      </c>
      <c r="AL65" s="7">
        <v>0</v>
      </c>
    </row>
    <row r="66" spans="1:38" ht="15">
      <c r="A66" s="16">
        <v>44440</v>
      </c>
      <c r="B66" s="6">
        <v>1491.2</v>
      </c>
      <c r="C66" s="6">
        <v>1637.4</v>
      </c>
      <c r="D66" s="6">
        <v>2263.7199999999998</v>
      </c>
      <c r="E66" s="6">
        <v>1407.72</v>
      </c>
      <c r="F66" s="6">
        <v>1095.56</v>
      </c>
      <c r="G66" s="7">
        <v>737.92</v>
      </c>
      <c r="H66" s="33">
        <v>0</v>
      </c>
      <c r="I66" s="6">
        <v>1039.44</v>
      </c>
      <c r="J66" s="6">
        <v>1138.48</v>
      </c>
      <c r="K66" s="6">
        <v>1279</v>
      </c>
      <c r="L66" s="6">
        <v>1351.2</v>
      </c>
      <c r="M66" s="7">
        <v>566.08000000000004</v>
      </c>
      <c r="N66" s="6">
        <v>1928.4</v>
      </c>
      <c r="O66" s="6">
        <v>2841.4</v>
      </c>
      <c r="P66" s="7">
        <v>745.44</v>
      </c>
      <c r="Q66" s="7">
        <v>725.72</v>
      </c>
      <c r="R66" s="7">
        <v>871.96</v>
      </c>
      <c r="S66" s="6">
        <v>1685.08</v>
      </c>
      <c r="T66" s="42">
        <v>0</v>
      </c>
      <c r="U66" s="7">
        <v>506.16</v>
      </c>
      <c r="V66" s="6">
        <v>2914.88</v>
      </c>
      <c r="W66" s="6">
        <v>3802.6</v>
      </c>
      <c r="X66" s="6">
        <v>4950.08</v>
      </c>
      <c r="Y66" s="6">
        <v>4501.76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470.48</v>
      </c>
      <c r="AF66" s="7">
        <v>616.64</v>
      </c>
      <c r="AG66" s="7">
        <v>0</v>
      </c>
      <c r="AH66" s="33">
        <v>0</v>
      </c>
      <c r="AI66" s="33">
        <v>0</v>
      </c>
      <c r="AJ66" s="42">
        <v>0</v>
      </c>
      <c r="AK66" s="7">
        <v>0</v>
      </c>
      <c r="AL66" s="7">
        <v>0</v>
      </c>
    </row>
    <row r="67" spans="1:38" ht="15">
      <c r="A67" s="16">
        <v>44470</v>
      </c>
      <c r="B67" s="6">
        <v>1945.04</v>
      </c>
      <c r="C67" s="6">
        <v>2213.91</v>
      </c>
      <c r="D67" s="6">
        <v>3118.77</v>
      </c>
      <c r="E67" s="6">
        <v>1799.81</v>
      </c>
      <c r="F67" s="6">
        <v>1464.17</v>
      </c>
      <c r="G67" s="6">
        <v>1032.92</v>
      </c>
      <c r="H67" s="33">
        <v>0</v>
      </c>
      <c r="I67" s="6">
        <v>1436.7</v>
      </c>
      <c r="J67" s="6">
        <v>1512.42</v>
      </c>
      <c r="K67" s="6">
        <v>1745.67</v>
      </c>
      <c r="L67" s="6">
        <v>1765.92</v>
      </c>
      <c r="M67" s="7">
        <v>707.6</v>
      </c>
      <c r="N67" s="6">
        <v>2571.94</v>
      </c>
      <c r="O67" s="6">
        <v>4084.87</v>
      </c>
      <c r="P67" s="7">
        <v>931.8</v>
      </c>
      <c r="Q67" s="7">
        <v>982.55</v>
      </c>
      <c r="R67" s="6">
        <v>1142.79</v>
      </c>
      <c r="S67" s="6">
        <v>2205.5100000000002</v>
      </c>
      <c r="T67" s="42">
        <v>0</v>
      </c>
      <c r="U67" s="7">
        <v>700.38</v>
      </c>
      <c r="V67" s="6">
        <v>3794.2</v>
      </c>
      <c r="W67" s="6">
        <v>5195.37</v>
      </c>
      <c r="X67" s="6">
        <v>6688.08</v>
      </c>
      <c r="Y67" s="6">
        <v>5914.56</v>
      </c>
      <c r="Z67" s="42">
        <v>0</v>
      </c>
      <c r="AA67" s="7">
        <v>0</v>
      </c>
      <c r="AB67" s="7">
        <v>0</v>
      </c>
      <c r="AC67" s="7">
        <v>0</v>
      </c>
      <c r="AD67" s="7">
        <v>0</v>
      </c>
      <c r="AE67" s="7">
        <v>789.7</v>
      </c>
      <c r="AF67" s="7">
        <v>770.8</v>
      </c>
      <c r="AG67" s="7">
        <v>0</v>
      </c>
      <c r="AH67" s="33">
        <v>0</v>
      </c>
      <c r="AI67" s="33">
        <v>0</v>
      </c>
      <c r="AJ67" s="42">
        <v>0</v>
      </c>
      <c r="AK67" s="7">
        <v>0</v>
      </c>
      <c r="AL67" s="7">
        <v>0</v>
      </c>
    </row>
    <row r="68" spans="1:38" ht="15">
      <c r="A68" s="16">
        <v>44501</v>
      </c>
      <c r="B68" s="6">
        <v>1572.24</v>
      </c>
      <c r="C68" s="6">
        <v>1804.56</v>
      </c>
      <c r="D68" s="6">
        <v>2552.84</v>
      </c>
      <c r="E68" s="6">
        <v>1447.88</v>
      </c>
      <c r="F68" s="6">
        <v>1190.28</v>
      </c>
      <c r="G68" s="7">
        <v>848.44</v>
      </c>
      <c r="H68" s="33">
        <v>0</v>
      </c>
      <c r="I68" s="6">
        <v>1176.8399999999999</v>
      </c>
      <c r="J68" s="6">
        <v>1227.8</v>
      </c>
      <c r="K68" s="6">
        <v>1425.92</v>
      </c>
      <c r="L68" s="6">
        <v>1428.12</v>
      </c>
      <c r="M68" s="7">
        <v>566.08000000000004</v>
      </c>
      <c r="N68" s="6">
        <v>2089.84</v>
      </c>
      <c r="O68" s="6">
        <v>3374.52</v>
      </c>
      <c r="P68" s="7">
        <v>745.44</v>
      </c>
      <c r="Q68" s="7">
        <v>801.12</v>
      </c>
      <c r="R68" s="7">
        <v>924.8</v>
      </c>
      <c r="S68" s="6">
        <v>1784.24</v>
      </c>
      <c r="T68" s="42">
        <v>0</v>
      </c>
      <c r="U68" s="7">
        <v>573.84</v>
      </c>
      <c r="V68" s="6">
        <v>3065.48</v>
      </c>
      <c r="W68" s="6">
        <v>4244.72</v>
      </c>
      <c r="X68" s="6">
        <v>5450.56</v>
      </c>
      <c r="Y68" s="6">
        <v>4789.12</v>
      </c>
      <c r="Z68" s="42">
        <v>0</v>
      </c>
      <c r="AA68" s="7">
        <v>0</v>
      </c>
      <c r="AB68" s="7">
        <v>0</v>
      </c>
      <c r="AC68" s="7">
        <v>0</v>
      </c>
      <c r="AD68" s="7">
        <v>0</v>
      </c>
      <c r="AE68" s="7">
        <v>672.08</v>
      </c>
      <c r="AF68" s="7">
        <v>616.64</v>
      </c>
      <c r="AG68" s="7">
        <v>0</v>
      </c>
      <c r="AH68" s="33">
        <v>0</v>
      </c>
      <c r="AI68" s="33">
        <v>0</v>
      </c>
      <c r="AJ68" s="42">
        <v>0</v>
      </c>
      <c r="AK68" s="7">
        <v>0</v>
      </c>
      <c r="AL68" s="7">
        <v>0</v>
      </c>
    </row>
    <row r="69" spans="1:38" ht="15">
      <c r="A69" s="16">
        <v>44531</v>
      </c>
      <c r="B69" s="6">
        <v>1572.24</v>
      </c>
      <c r="C69" s="6">
        <v>1804.56</v>
      </c>
      <c r="D69" s="6">
        <v>2552.84</v>
      </c>
      <c r="E69" s="6">
        <v>1447.88</v>
      </c>
      <c r="F69" s="6">
        <v>1190.28</v>
      </c>
      <c r="G69" s="7">
        <v>848.44</v>
      </c>
      <c r="H69" s="33">
        <v>0</v>
      </c>
      <c r="I69" s="6">
        <v>1176.8399999999999</v>
      </c>
      <c r="J69" s="6">
        <v>1227.8</v>
      </c>
      <c r="K69" s="6">
        <v>1425.92</v>
      </c>
      <c r="L69" s="6">
        <v>1428.12</v>
      </c>
      <c r="M69" s="7">
        <v>566.08000000000004</v>
      </c>
      <c r="N69" s="6">
        <v>2089.84</v>
      </c>
      <c r="O69" s="6">
        <v>3374.52</v>
      </c>
      <c r="P69" s="7">
        <v>745.44</v>
      </c>
      <c r="Q69" s="7">
        <v>801.12</v>
      </c>
      <c r="R69" s="7">
        <v>924.8</v>
      </c>
      <c r="S69" s="6">
        <v>1784.24</v>
      </c>
      <c r="T69" s="42">
        <v>0</v>
      </c>
      <c r="U69" s="7">
        <v>573.84</v>
      </c>
      <c r="V69" s="6">
        <v>3065.48</v>
      </c>
      <c r="W69" s="6">
        <v>4244.72</v>
      </c>
      <c r="X69" s="6">
        <v>5450.56</v>
      </c>
      <c r="Y69" s="6">
        <v>4789.12</v>
      </c>
      <c r="Z69" s="42">
        <v>0</v>
      </c>
      <c r="AA69" s="7">
        <v>0</v>
      </c>
      <c r="AB69" s="7">
        <v>0</v>
      </c>
      <c r="AC69" s="7">
        <v>0</v>
      </c>
      <c r="AD69" s="7">
        <v>0</v>
      </c>
      <c r="AE69" s="7">
        <v>672.08</v>
      </c>
      <c r="AF69" s="7">
        <v>616.64</v>
      </c>
      <c r="AG69" s="7">
        <v>0</v>
      </c>
      <c r="AH69" s="33">
        <v>0</v>
      </c>
      <c r="AI69" s="33">
        <v>0</v>
      </c>
      <c r="AJ69" s="42">
        <v>0</v>
      </c>
      <c r="AK69" s="7">
        <v>0</v>
      </c>
      <c r="AL69" s="7">
        <v>0</v>
      </c>
    </row>
    <row r="70" spans="1:38" ht="15">
      <c r="A70" s="16">
        <v>44562</v>
      </c>
      <c r="B70" s="6">
        <v>2358.36</v>
      </c>
      <c r="C70" s="6">
        <v>2706.84</v>
      </c>
      <c r="D70" s="6">
        <v>3829.26</v>
      </c>
      <c r="E70" s="6">
        <v>2171.8200000000002</v>
      </c>
      <c r="F70" s="6">
        <v>1785.42</v>
      </c>
      <c r="G70" s="6">
        <v>1272.6600000000001</v>
      </c>
      <c r="H70" s="33">
        <v>0</v>
      </c>
      <c r="I70" s="6">
        <v>1765.26</v>
      </c>
      <c r="J70" s="6">
        <v>1841.7</v>
      </c>
      <c r="K70" s="6">
        <v>2138.88</v>
      </c>
      <c r="L70" s="6">
        <v>2142.1799999999998</v>
      </c>
      <c r="M70" s="7">
        <v>849.12</v>
      </c>
      <c r="N70" s="6">
        <v>3134.76</v>
      </c>
      <c r="O70" s="6">
        <v>5061.78</v>
      </c>
      <c r="P70" s="6">
        <v>1118.1600000000001</v>
      </c>
      <c r="Q70" s="6">
        <v>1201.68</v>
      </c>
      <c r="R70" s="6">
        <v>1387.2</v>
      </c>
      <c r="S70" s="6">
        <v>2676.36</v>
      </c>
      <c r="T70" s="42">
        <v>0</v>
      </c>
      <c r="U70" s="7">
        <v>860.76</v>
      </c>
      <c r="V70" s="6">
        <v>4598.22</v>
      </c>
      <c r="W70" s="6">
        <v>6367.08</v>
      </c>
      <c r="X70" s="6">
        <v>8175.84</v>
      </c>
      <c r="Y70" s="6">
        <v>7183.68</v>
      </c>
      <c r="Z70" s="42">
        <v>0</v>
      </c>
      <c r="AA70" s="7">
        <v>0</v>
      </c>
      <c r="AB70" s="7">
        <v>0</v>
      </c>
      <c r="AC70" s="7">
        <v>0</v>
      </c>
      <c r="AD70" s="7">
        <v>0</v>
      </c>
      <c r="AE70" s="6">
        <v>1008.12</v>
      </c>
      <c r="AF70" s="7">
        <v>924.96</v>
      </c>
      <c r="AG70" s="7">
        <v>0</v>
      </c>
      <c r="AH70" s="33">
        <v>0</v>
      </c>
      <c r="AI70" s="33">
        <v>0</v>
      </c>
      <c r="AJ70" s="42">
        <v>0</v>
      </c>
      <c r="AK70" s="7">
        <v>0</v>
      </c>
      <c r="AL70" s="7">
        <v>0</v>
      </c>
    </row>
    <row r="71" spans="1:38" ht="15">
      <c r="A71" s="16">
        <v>44593</v>
      </c>
      <c r="B71" s="6">
        <v>1572.24</v>
      </c>
      <c r="C71" s="6">
        <v>1804.56</v>
      </c>
      <c r="D71" s="6">
        <v>2552.84</v>
      </c>
      <c r="E71" s="6">
        <v>1447.88</v>
      </c>
      <c r="F71" s="6">
        <v>1190.28</v>
      </c>
      <c r="G71" s="7">
        <v>848.44</v>
      </c>
      <c r="H71" s="33">
        <v>0</v>
      </c>
      <c r="I71" s="6">
        <v>1176.8399999999999</v>
      </c>
      <c r="J71" s="6">
        <v>1227.8</v>
      </c>
      <c r="K71" s="6">
        <v>1425.92</v>
      </c>
      <c r="L71" s="6">
        <v>1428.12</v>
      </c>
      <c r="M71" s="7">
        <v>566.08000000000004</v>
      </c>
      <c r="N71" s="6">
        <v>2089.84</v>
      </c>
      <c r="O71" s="6">
        <v>3374.52</v>
      </c>
      <c r="P71" s="7">
        <v>745.44</v>
      </c>
      <c r="Q71" s="7">
        <v>801.12</v>
      </c>
      <c r="R71" s="7">
        <v>924.8</v>
      </c>
      <c r="S71" s="6">
        <v>1784.24</v>
      </c>
      <c r="T71" s="42">
        <v>0</v>
      </c>
      <c r="U71" s="7">
        <v>573.84</v>
      </c>
      <c r="V71" s="6">
        <v>3065.48</v>
      </c>
      <c r="W71" s="6">
        <v>4244.72</v>
      </c>
      <c r="X71" s="6">
        <v>5450.56</v>
      </c>
      <c r="Y71" s="6">
        <v>4789.12</v>
      </c>
      <c r="Z71" s="42">
        <v>0</v>
      </c>
      <c r="AA71" s="7">
        <v>0</v>
      </c>
      <c r="AB71" s="7">
        <v>0</v>
      </c>
      <c r="AC71" s="7">
        <v>0</v>
      </c>
      <c r="AD71" s="7">
        <v>0</v>
      </c>
      <c r="AE71" s="7">
        <v>672.08</v>
      </c>
      <c r="AF71" s="7">
        <v>616.64</v>
      </c>
      <c r="AG71" s="7">
        <v>0</v>
      </c>
      <c r="AH71" s="33">
        <v>0</v>
      </c>
      <c r="AI71" s="33">
        <v>0</v>
      </c>
      <c r="AJ71" s="42">
        <v>0</v>
      </c>
      <c r="AK71" s="7">
        <v>0</v>
      </c>
      <c r="AL71" s="7">
        <v>0</v>
      </c>
    </row>
    <row r="72" spans="1:38" ht="15">
      <c r="A72" s="16">
        <v>44621</v>
      </c>
      <c r="B72" s="6">
        <v>1572.24</v>
      </c>
      <c r="C72" s="6">
        <v>1804.56</v>
      </c>
      <c r="D72" s="6">
        <v>2552.84</v>
      </c>
      <c r="E72" s="6">
        <v>1447.88</v>
      </c>
      <c r="F72" s="6">
        <v>1151.8399999999999</v>
      </c>
      <c r="G72" s="7">
        <v>821.4</v>
      </c>
      <c r="H72" s="33">
        <v>0</v>
      </c>
      <c r="I72" s="6">
        <v>1176.8399999999999</v>
      </c>
      <c r="J72" s="6">
        <v>1189.3599999999999</v>
      </c>
      <c r="K72" s="6">
        <v>1425.92</v>
      </c>
      <c r="L72" s="6">
        <v>1428.12</v>
      </c>
      <c r="M72" s="7">
        <v>566.08000000000004</v>
      </c>
      <c r="N72" s="6">
        <v>2089.84</v>
      </c>
      <c r="O72" s="6">
        <v>3374.52</v>
      </c>
      <c r="P72" s="7">
        <v>745.44</v>
      </c>
      <c r="Q72" s="7">
        <v>801.12</v>
      </c>
      <c r="R72" s="7">
        <v>924.8</v>
      </c>
      <c r="S72" s="6">
        <v>1784.24</v>
      </c>
      <c r="T72" s="42">
        <v>0</v>
      </c>
      <c r="U72" s="7">
        <v>573.84</v>
      </c>
      <c r="V72" s="6">
        <v>3065.48</v>
      </c>
      <c r="W72" s="6">
        <v>4244.72</v>
      </c>
      <c r="X72" s="6">
        <v>5450.56</v>
      </c>
      <c r="Y72" s="6">
        <v>4789.12</v>
      </c>
      <c r="Z72" s="42">
        <v>0</v>
      </c>
      <c r="AA72" s="7">
        <v>0</v>
      </c>
      <c r="AB72" s="7">
        <v>0</v>
      </c>
      <c r="AC72" s="7">
        <v>0</v>
      </c>
      <c r="AD72" s="7">
        <v>0</v>
      </c>
      <c r="AE72" s="7">
        <v>672.08</v>
      </c>
      <c r="AF72" s="7">
        <v>616.64</v>
      </c>
      <c r="AG72" s="7">
        <v>0</v>
      </c>
      <c r="AH72" s="33">
        <v>0</v>
      </c>
      <c r="AI72" s="33">
        <v>0</v>
      </c>
      <c r="AJ72" s="42">
        <v>0</v>
      </c>
      <c r="AK72" s="7">
        <v>0</v>
      </c>
      <c r="AL72" s="7">
        <v>0</v>
      </c>
    </row>
    <row r="73" spans="1:38" ht="15">
      <c r="A73" s="16">
        <v>44652</v>
      </c>
      <c r="B73" s="6">
        <v>4818.34</v>
      </c>
      <c r="C73" s="6">
        <v>2230.98</v>
      </c>
      <c r="D73" s="7">
        <v>638.21</v>
      </c>
      <c r="E73" s="6">
        <v>2374.0100000000002</v>
      </c>
      <c r="F73" s="6">
        <v>1873.76</v>
      </c>
      <c r="G73" s="6">
        <v>1254.55</v>
      </c>
      <c r="H73" s="33">
        <v>0</v>
      </c>
      <c r="I73" s="6">
        <v>1489.33</v>
      </c>
      <c r="J73" s="6">
        <v>1705.82</v>
      </c>
      <c r="K73" s="6">
        <v>1778.24</v>
      </c>
      <c r="L73" s="6">
        <v>1816.35</v>
      </c>
      <c r="M73" s="7">
        <v>141.52000000000001</v>
      </c>
      <c r="N73" s="6">
        <v>2729.1</v>
      </c>
      <c r="O73" s="6">
        <v>4377.91</v>
      </c>
      <c r="P73" s="7">
        <v>186.36</v>
      </c>
      <c r="Q73" s="7">
        <v>987.12</v>
      </c>
      <c r="R73" s="6">
        <v>1156</v>
      </c>
      <c r="S73" s="6">
        <v>2230.3000000000002</v>
      </c>
      <c r="T73" s="42">
        <v>0</v>
      </c>
      <c r="U73" s="7">
        <v>721.3</v>
      </c>
      <c r="V73" s="6">
        <v>3971.21</v>
      </c>
      <c r="W73" s="6">
        <v>5500.42</v>
      </c>
      <c r="X73" s="6">
        <v>8339.36</v>
      </c>
      <c r="Y73" s="6">
        <v>6177.96</v>
      </c>
      <c r="Z73" s="42">
        <v>0</v>
      </c>
      <c r="AA73" s="7">
        <v>0</v>
      </c>
      <c r="AB73" s="7">
        <v>0</v>
      </c>
      <c r="AC73" s="7">
        <v>0</v>
      </c>
      <c r="AD73" s="7">
        <v>745.44</v>
      </c>
      <c r="AE73" s="7">
        <v>995.1</v>
      </c>
      <c r="AF73" s="6">
        <v>1519.16</v>
      </c>
      <c r="AG73" s="7">
        <v>921.36</v>
      </c>
      <c r="AH73" s="33">
        <v>0</v>
      </c>
      <c r="AI73" s="33">
        <v>0</v>
      </c>
      <c r="AJ73" s="42">
        <v>0</v>
      </c>
      <c r="AK73" s="7">
        <v>0</v>
      </c>
      <c r="AL73" s="7">
        <v>0</v>
      </c>
    </row>
    <row r="74" spans="1:38" ht="15">
      <c r="A74" s="16">
        <v>44682</v>
      </c>
      <c r="B74" s="6">
        <v>4425.28</v>
      </c>
      <c r="C74" s="6">
        <v>1779.84</v>
      </c>
      <c r="D74" s="7">
        <v>0</v>
      </c>
      <c r="E74" s="6">
        <v>2012.04</v>
      </c>
      <c r="F74" s="6">
        <v>1585.8</v>
      </c>
      <c r="G74" s="6">
        <v>1049.2</v>
      </c>
      <c r="H74" s="33">
        <v>0</v>
      </c>
      <c r="I74" s="6">
        <v>1195.1199999999999</v>
      </c>
      <c r="J74" s="6">
        <v>1408.48</v>
      </c>
      <c r="K74" s="6">
        <v>1421.76</v>
      </c>
      <c r="L74" s="6">
        <v>1459.32</v>
      </c>
      <c r="M74" s="7">
        <v>0</v>
      </c>
      <c r="N74" s="6">
        <v>2206.64</v>
      </c>
      <c r="O74" s="6">
        <v>3534.28</v>
      </c>
      <c r="P74" s="7">
        <v>0</v>
      </c>
      <c r="Q74" s="7">
        <v>786.84</v>
      </c>
      <c r="R74" s="7">
        <v>924.8</v>
      </c>
      <c r="S74" s="6">
        <v>1784.24</v>
      </c>
      <c r="T74" s="42">
        <v>0</v>
      </c>
      <c r="U74" s="7">
        <v>577.84</v>
      </c>
      <c r="V74" s="6">
        <v>3204.84</v>
      </c>
      <c r="W74" s="6">
        <v>4439.24</v>
      </c>
      <c r="X74" s="6">
        <v>6976.72</v>
      </c>
      <c r="Y74" s="6">
        <v>4980.68</v>
      </c>
      <c r="Z74" s="42">
        <v>0</v>
      </c>
      <c r="AA74" s="7">
        <v>0</v>
      </c>
      <c r="AB74" s="7">
        <v>0</v>
      </c>
      <c r="AC74" s="7">
        <v>0</v>
      </c>
      <c r="AD74" s="7">
        <v>745.44</v>
      </c>
      <c r="AE74" s="7">
        <v>827.08</v>
      </c>
      <c r="AF74" s="6">
        <v>1365</v>
      </c>
      <c r="AG74" s="7">
        <v>921.36</v>
      </c>
      <c r="AH74" s="33">
        <v>0</v>
      </c>
      <c r="AI74" s="33">
        <v>0</v>
      </c>
      <c r="AJ74" s="42">
        <v>0</v>
      </c>
      <c r="AK74" s="7">
        <v>0</v>
      </c>
      <c r="AL74" s="7">
        <v>0</v>
      </c>
    </row>
    <row r="75" spans="1:38" ht="15">
      <c r="A75" s="16">
        <v>44713</v>
      </c>
      <c r="B75" s="8">
        <v>4425.28</v>
      </c>
      <c r="C75" s="8">
        <v>1779.84</v>
      </c>
      <c r="D75" s="10">
        <v>0</v>
      </c>
      <c r="E75" s="8">
        <v>2012.04</v>
      </c>
      <c r="F75" s="8">
        <v>1585.8</v>
      </c>
      <c r="G75" s="8">
        <v>1049.2</v>
      </c>
      <c r="H75" s="33">
        <v>0</v>
      </c>
      <c r="I75" s="8">
        <v>1195.1199999999999</v>
      </c>
      <c r="J75" s="8">
        <v>1408.48</v>
      </c>
      <c r="K75" s="8">
        <v>1421.76</v>
      </c>
      <c r="L75" s="8">
        <v>1459.32</v>
      </c>
      <c r="M75" s="10">
        <v>0</v>
      </c>
      <c r="N75" s="8">
        <v>2206.64</v>
      </c>
      <c r="O75" s="8">
        <v>3534.28</v>
      </c>
      <c r="P75" s="10">
        <v>0</v>
      </c>
      <c r="Q75" s="10">
        <v>786.84</v>
      </c>
      <c r="R75" s="10">
        <v>924.8</v>
      </c>
      <c r="S75" s="8">
        <v>1784.24</v>
      </c>
      <c r="T75" s="42">
        <v>0</v>
      </c>
      <c r="U75" s="10">
        <v>577.84</v>
      </c>
      <c r="V75" s="8">
        <v>3204.84</v>
      </c>
      <c r="W75" s="8">
        <v>4439.24</v>
      </c>
      <c r="X75" s="8">
        <v>6976.72</v>
      </c>
      <c r="Y75" s="8">
        <v>4980.68</v>
      </c>
      <c r="Z75" s="42">
        <v>0</v>
      </c>
      <c r="AA75" s="10">
        <v>0</v>
      </c>
      <c r="AB75" s="10">
        <v>0</v>
      </c>
      <c r="AC75" s="10">
        <v>0</v>
      </c>
      <c r="AD75" s="10">
        <v>745.44</v>
      </c>
      <c r="AE75" s="10">
        <v>827.08</v>
      </c>
      <c r="AF75" s="8">
        <v>1365</v>
      </c>
      <c r="AG75" s="10">
        <v>921.36</v>
      </c>
      <c r="AH75" s="33">
        <v>0</v>
      </c>
      <c r="AI75" s="33">
        <v>0</v>
      </c>
      <c r="AJ75" s="42">
        <v>0</v>
      </c>
      <c r="AK75" s="7">
        <v>0</v>
      </c>
      <c r="AL75" s="7">
        <v>0</v>
      </c>
    </row>
    <row r="76" spans="1:38" ht="15">
      <c r="A76" s="16">
        <v>44743</v>
      </c>
      <c r="B76" s="8">
        <v>4604.8599999999997</v>
      </c>
      <c r="C76" s="8">
        <v>2056.62</v>
      </c>
      <c r="D76" s="10">
        <v>0</v>
      </c>
      <c r="E76" s="8">
        <v>1763.61</v>
      </c>
      <c r="F76" s="8">
        <v>1328.55</v>
      </c>
      <c r="G76" s="10">
        <v>890.58</v>
      </c>
      <c r="H76" s="33">
        <v>0</v>
      </c>
      <c r="I76" s="8">
        <v>1297</v>
      </c>
      <c r="J76" s="8">
        <v>1378.77</v>
      </c>
      <c r="K76" s="8">
        <v>1600.74</v>
      </c>
      <c r="L76" s="8">
        <v>1685.89</v>
      </c>
      <c r="M76" s="10">
        <v>0</v>
      </c>
      <c r="N76" s="8">
        <v>2391.75</v>
      </c>
      <c r="O76" s="8">
        <v>3879.41</v>
      </c>
      <c r="P76" s="10">
        <v>0</v>
      </c>
      <c r="Q76" s="10">
        <v>908.81</v>
      </c>
      <c r="R76" s="8">
        <v>1091.0899999999999</v>
      </c>
      <c r="S76" s="8">
        <v>2106.58</v>
      </c>
      <c r="T76" s="42">
        <v>0</v>
      </c>
      <c r="U76" s="10">
        <v>632.66</v>
      </c>
      <c r="V76" s="8">
        <v>3570.42</v>
      </c>
      <c r="W76" s="8">
        <v>4743.43</v>
      </c>
      <c r="X76" s="8">
        <v>6187.8</v>
      </c>
      <c r="Y76" s="8">
        <v>5599.94</v>
      </c>
      <c r="Z76" s="42">
        <v>0</v>
      </c>
      <c r="AA76" s="10">
        <v>0</v>
      </c>
      <c r="AB76" s="10">
        <v>0</v>
      </c>
      <c r="AC76" s="10">
        <v>0</v>
      </c>
      <c r="AD76" s="10">
        <v>932.7</v>
      </c>
      <c r="AE76" s="10">
        <v>588.15</v>
      </c>
      <c r="AF76" s="8">
        <v>1421.53</v>
      </c>
      <c r="AG76" s="33">
        <v>0</v>
      </c>
      <c r="AH76" s="33">
        <v>0</v>
      </c>
      <c r="AI76" s="33">
        <v>0</v>
      </c>
      <c r="AJ76" s="42">
        <v>0</v>
      </c>
      <c r="AK76" s="7">
        <v>0</v>
      </c>
      <c r="AL76" s="7">
        <v>0</v>
      </c>
    </row>
    <row r="77" spans="1:38" ht="15">
      <c r="A77" s="16">
        <v>44774</v>
      </c>
      <c r="B77" s="8">
        <v>3684.71</v>
      </c>
      <c r="C77" s="8">
        <v>1645.3</v>
      </c>
      <c r="D77" s="10">
        <v>0</v>
      </c>
      <c r="E77" s="8">
        <v>1410.88</v>
      </c>
      <c r="F77" s="8">
        <v>1062.8399999999999</v>
      </c>
      <c r="G77" s="10">
        <v>712.47</v>
      </c>
      <c r="H77" s="33">
        <v>0</v>
      </c>
      <c r="I77" s="8">
        <v>1037.6500000000001</v>
      </c>
      <c r="J77" s="8">
        <v>1103.02</v>
      </c>
      <c r="K77" s="8">
        <v>1280.58</v>
      </c>
      <c r="L77" s="8">
        <v>1348.71</v>
      </c>
      <c r="M77" s="10">
        <v>0</v>
      </c>
      <c r="N77" s="8">
        <v>1913.4</v>
      </c>
      <c r="O77" s="8">
        <v>3098.19</v>
      </c>
      <c r="P77" s="10">
        <v>0</v>
      </c>
      <c r="Q77" s="10">
        <v>727.05</v>
      </c>
      <c r="R77" s="10">
        <v>872.87</v>
      </c>
      <c r="S77" s="8">
        <v>1685.27</v>
      </c>
      <c r="T77" s="42">
        <v>0</v>
      </c>
      <c r="U77" s="10">
        <v>506.13</v>
      </c>
      <c r="V77" s="8">
        <v>2856.33</v>
      </c>
      <c r="W77" s="8">
        <v>3794.74</v>
      </c>
      <c r="X77" s="8">
        <v>4950.24</v>
      </c>
      <c r="Y77" s="8">
        <v>4479.49</v>
      </c>
      <c r="Z77" s="42">
        <v>0</v>
      </c>
      <c r="AA77" s="10">
        <v>0</v>
      </c>
      <c r="AB77" s="10">
        <v>0</v>
      </c>
      <c r="AC77" s="10">
        <v>0</v>
      </c>
      <c r="AD77" s="10">
        <v>746.16</v>
      </c>
      <c r="AE77" s="10">
        <v>470.52</v>
      </c>
      <c r="AF77" s="8">
        <v>1147.8</v>
      </c>
      <c r="AG77" s="33">
        <v>0</v>
      </c>
      <c r="AH77" s="33">
        <v>0</v>
      </c>
      <c r="AI77" s="33">
        <v>0</v>
      </c>
      <c r="AJ77" s="42">
        <v>0</v>
      </c>
      <c r="AK77" s="7">
        <v>0</v>
      </c>
      <c r="AL77" s="7">
        <v>0</v>
      </c>
    </row>
    <row r="78" spans="1:38" ht="15">
      <c r="A78" s="16">
        <v>44805</v>
      </c>
      <c r="B78" s="8">
        <v>3684.71</v>
      </c>
      <c r="C78" s="8">
        <v>1645.3</v>
      </c>
      <c r="D78" s="10">
        <v>0</v>
      </c>
      <c r="E78" s="8">
        <v>1410.88</v>
      </c>
      <c r="F78" s="8">
        <v>1062.8399999999999</v>
      </c>
      <c r="G78" s="10">
        <v>712.47</v>
      </c>
      <c r="H78" s="33">
        <v>0</v>
      </c>
      <c r="I78" s="8">
        <v>1037.78</v>
      </c>
      <c r="J78" s="8">
        <v>1103.02</v>
      </c>
      <c r="K78" s="8">
        <v>1280.54</v>
      </c>
      <c r="L78" s="8">
        <v>1348.71</v>
      </c>
      <c r="M78" s="10">
        <v>0</v>
      </c>
      <c r="N78" s="8">
        <v>1913.4</v>
      </c>
      <c r="O78" s="8">
        <v>3082.18</v>
      </c>
      <c r="P78" s="10">
        <v>0</v>
      </c>
      <c r="Q78" s="10">
        <v>727.05</v>
      </c>
      <c r="R78" s="10">
        <v>872.87</v>
      </c>
      <c r="S78" s="8">
        <v>1685.27</v>
      </c>
      <c r="T78" s="42">
        <v>0</v>
      </c>
      <c r="U78" s="10">
        <v>506.13</v>
      </c>
      <c r="V78" s="8">
        <v>2856.33</v>
      </c>
      <c r="W78" s="8">
        <v>3794.74</v>
      </c>
      <c r="X78" s="8">
        <v>4950.24</v>
      </c>
      <c r="Y78" s="8">
        <v>4479.49</v>
      </c>
      <c r="Z78" s="42">
        <v>0</v>
      </c>
      <c r="AA78" s="10">
        <v>0</v>
      </c>
      <c r="AB78" s="10">
        <v>0</v>
      </c>
      <c r="AC78" s="10">
        <v>0</v>
      </c>
      <c r="AD78" s="10">
        <v>746.16</v>
      </c>
      <c r="AE78" s="10">
        <v>470.52</v>
      </c>
      <c r="AF78" s="8">
        <v>1179.53</v>
      </c>
      <c r="AG78" s="33">
        <v>0</v>
      </c>
      <c r="AH78" s="33">
        <v>0</v>
      </c>
      <c r="AI78" s="33">
        <v>0</v>
      </c>
      <c r="AJ78" s="42">
        <v>0</v>
      </c>
      <c r="AK78" s="7">
        <v>0</v>
      </c>
      <c r="AL78" s="7">
        <v>0</v>
      </c>
    </row>
    <row r="79" spans="1:38" ht="15">
      <c r="A79" s="16">
        <v>44835</v>
      </c>
      <c r="B79" s="8">
        <v>5042.87</v>
      </c>
      <c r="C79" s="8">
        <v>2224.11</v>
      </c>
      <c r="D79" s="10">
        <v>0</v>
      </c>
      <c r="E79" s="8">
        <v>1801.63</v>
      </c>
      <c r="F79" s="8">
        <v>1419.09</v>
      </c>
      <c r="G79" s="10">
        <v>998.11</v>
      </c>
      <c r="H79" s="33">
        <v>0</v>
      </c>
      <c r="I79" s="8">
        <v>1434.38</v>
      </c>
      <c r="J79" s="8">
        <v>1465.28</v>
      </c>
      <c r="K79" s="8">
        <v>1748.41</v>
      </c>
      <c r="L79" s="8">
        <v>1762.69</v>
      </c>
      <c r="M79" s="10">
        <v>0</v>
      </c>
      <c r="N79" s="8">
        <v>2550.8000000000002</v>
      </c>
      <c r="O79" s="8">
        <v>4101.7700000000004</v>
      </c>
      <c r="P79" s="10">
        <v>0</v>
      </c>
      <c r="Q79" s="10">
        <v>984.29</v>
      </c>
      <c r="R79" s="8">
        <v>1144</v>
      </c>
      <c r="S79" s="8">
        <v>2205.7199999999998</v>
      </c>
      <c r="T79" s="42">
        <v>0</v>
      </c>
      <c r="U79" s="10">
        <v>700.33</v>
      </c>
      <c r="V79" s="8">
        <v>3779.42</v>
      </c>
      <c r="W79" s="8">
        <v>5185.13</v>
      </c>
      <c r="X79" s="8">
        <v>6688.36</v>
      </c>
      <c r="Y79" s="8">
        <v>5885.29</v>
      </c>
      <c r="Z79" s="42">
        <v>0</v>
      </c>
      <c r="AA79" s="10">
        <v>0</v>
      </c>
      <c r="AB79" s="10">
        <v>0</v>
      </c>
      <c r="AC79" s="10">
        <v>0</v>
      </c>
      <c r="AD79" s="10">
        <v>932.69</v>
      </c>
      <c r="AE79" s="10">
        <v>789.8</v>
      </c>
      <c r="AF79" s="8">
        <v>1474.41</v>
      </c>
      <c r="AG79" s="33">
        <v>0</v>
      </c>
      <c r="AH79" s="33">
        <v>0</v>
      </c>
      <c r="AI79" s="33">
        <v>0</v>
      </c>
      <c r="AJ79" s="42">
        <v>0</v>
      </c>
      <c r="AK79" s="7">
        <v>0</v>
      </c>
      <c r="AL79" s="7">
        <v>0</v>
      </c>
    </row>
    <row r="80" spans="1:38" ht="15">
      <c r="A80" s="16">
        <v>44866</v>
      </c>
      <c r="B80" s="8">
        <v>4121.6899999999996</v>
      </c>
      <c r="C80" s="8">
        <v>1812.79</v>
      </c>
      <c r="D80" s="10">
        <v>0</v>
      </c>
      <c r="E80" s="8">
        <v>1448.92</v>
      </c>
      <c r="F80" s="8">
        <v>1152.77</v>
      </c>
      <c r="G80" s="10">
        <v>819.99</v>
      </c>
      <c r="H80" s="33">
        <v>0</v>
      </c>
      <c r="I80" s="8">
        <v>1174.93</v>
      </c>
      <c r="J80" s="8">
        <v>1189.52</v>
      </c>
      <c r="K80" s="8">
        <v>1428.3</v>
      </c>
      <c r="L80" s="8">
        <v>1425.51</v>
      </c>
      <c r="M80" s="10">
        <v>0</v>
      </c>
      <c r="N80" s="8">
        <v>2072.4299999999998</v>
      </c>
      <c r="O80" s="8">
        <v>3331.23</v>
      </c>
      <c r="P80" s="10">
        <v>0</v>
      </c>
      <c r="Q80" s="10">
        <v>802.53</v>
      </c>
      <c r="R80" s="10">
        <v>925.78</v>
      </c>
      <c r="S80" s="8">
        <v>1784.4</v>
      </c>
      <c r="T80" s="42">
        <v>0</v>
      </c>
      <c r="U80" s="10">
        <v>573.79</v>
      </c>
      <c r="V80" s="8">
        <v>3065.33</v>
      </c>
      <c r="W80" s="8">
        <v>4236.51</v>
      </c>
      <c r="X80" s="8">
        <v>5450.85</v>
      </c>
      <c r="Y80" s="8">
        <v>4765.42</v>
      </c>
      <c r="Z80" s="42">
        <v>0</v>
      </c>
      <c r="AA80" s="10">
        <v>0</v>
      </c>
      <c r="AB80" s="10">
        <v>0</v>
      </c>
      <c r="AC80" s="10">
        <v>0</v>
      </c>
      <c r="AD80" s="10">
        <v>746.15</v>
      </c>
      <c r="AE80" s="10">
        <v>672.17</v>
      </c>
      <c r="AF80" s="8">
        <v>1179.53</v>
      </c>
      <c r="AG80" s="33">
        <v>0</v>
      </c>
      <c r="AH80" s="33">
        <v>0</v>
      </c>
      <c r="AI80" s="33">
        <v>0</v>
      </c>
      <c r="AJ80" s="42">
        <v>0</v>
      </c>
      <c r="AK80" s="7">
        <v>0</v>
      </c>
      <c r="AL80" s="7">
        <v>0</v>
      </c>
    </row>
    <row r="81" spans="1:38" ht="15">
      <c r="A81" s="16">
        <v>44896</v>
      </c>
      <c r="B81" s="8">
        <v>4121.6899999999996</v>
      </c>
      <c r="C81" s="8">
        <v>1812.79</v>
      </c>
      <c r="D81" s="10">
        <v>0</v>
      </c>
      <c r="E81" s="8">
        <v>1448.94</v>
      </c>
      <c r="F81" s="8">
        <v>1152.1600000000001</v>
      </c>
      <c r="G81" s="10">
        <v>819.99</v>
      </c>
      <c r="H81" s="33">
        <v>0</v>
      </c>
      <c r="I81" s="8">
        <v>1174.93</v>
      </c>
      <c r="J81" s="8">
        <v>1189.52</v>
      </c>
      <c r="K81" s="8">
        <v>1428.32</v>
      </c>
      <c r="L81" s="8">
        <v>1425.5</v>
      </c>
      <c r="M81" s="10">
        <v>0</v>
      </c>
      <c r="N81" s="8">
        <v>2072.42</v>
      </c>
      <c r="O81" s="8">
        <v>3331.23</v>
      </c>
      <c r="P81" s="10">
        <v>0</v>
      </c>
      <c r="Q81" s="10">
        <v>802.53</v>
      </c>
      <c r="R81" s="10">
        <v>925.78</v>
      </c>
      <c r="S81" s="8">
        <v>1784.4</v>
      </c>
      <c r="T81" s="42">
        <v>0</v>
      </c>
      <c r="U81" s="10">
        <v>573.79</v>
      </c>
      <c r="V81" s="8">
        <v>3065.33</v>
      </c>
      <c r="W81" s="8">
        <v>4236.5600000000004</v>
      </c>
      <c r="X81" s="8">
        <v>5450.91</v>
      </c>
      <c r="Y81" s="8">
        <v>4765.42</v>
      </c>
      <c r="Z81" s="42">
        <v>0</v>
      </c>
      <c r="AA81" s="10">
        <v>0</v>
      </c>
      <c r="AB81" s="10">
        <v>0</v>
      </c>
      <c r="AC81" s="10">
        <v>0</v>
      </c>
      <c r="AD81" s="10">
        <v>746.15</v>
      </c>
      <c r="AE81" s="10">
        <v>672.17</v>
      </c>
      <c r="AF81" s="8">
        <v>1179.53</v>
      </c>
      <c r="AG81" s="33">
        <v>0</v>
      </c>
      <c r="AH81" s="33">
        <v>0</v>
      </c>
      <c r="AI81" s="33">
        <v>0</v>
      </c>
      <c r="AJ81" s="42">
        <v>0</v>
      </c>
      <c r="AK81" s="7">
        <v>0</v>
      </c>
      <c r="AL81" s="7">
        <v>0</v>
      </c>
    </row>
    <row r="82" spans="1:38" ht="15">
      <c r="A82" s="16">
        <v>44927</v>
      </c>
      <c r="B82" s="8">
        <v>5533.7</v>
      </c>
      <c r="C82" s="8">
        <v>2194.12</v>
      </c>
      <c r="D82" s="10">
        <v>0</v>
      </c>
      <c r="E82" s="8">
        <v>2515.98</v>
      </c>
      <c r="F82" s="8">
        <v>1984.91</v>
      </c>
      <c r="G82" s="8">
        <v>1309.21</v>
      </c>
      <c r="H82" s="33">
        <v>0</v>
      </c>
      <c r="I82" s="8">
        <v>1492.06</v>
      </c>
      <c r="J82" s="8">
        <v>1759.53</v>
      </c>
      <c r="K82" s="8">
        <v>1780.01</v>
      </c>
      <c r="L82" s="8">
        <v>1820.74</v>
      </c>
      <c r="M82" s="10">
        <v>0</v>
      </c>
      <c r="N82" s="8">
        <v>2741.89</v>
      </c>
      <c r="O82" s="8">
        <v>4362.88</v>
      </c>
      <c r="P82" s="10">
        <v>0</v>
      </c>
      <c r="Q82" s="10">
        <v>986.68</v>
      </c>
      <c r="R82" s="8">
        <v>1181.08</v>
      </c>
      <c r="S82" s="8">
        <v>2230.5</v>
      </c>
      <c r="T82" s="42">
        <v>0</v>
      </c>
      <c r="U82" s="10">
        <v>722.64</v>
      </c>
      <c r="V82" s="8">
        <v>4005.83</v>
      </c>
      <c r="W82" s="8">
        <v>5543.32</v>
      </c>
      <c r="X82" s="8">
        <v>8721.09</v>
      </c>
      <c r="Y82" s="8">
        <v>6196.08</v>
      </c>
      <c r="Z82" s="42">
        <v>0</v>
      </c>
      <c r="AA82" s="10">
        <v>0</v>
      </c>
      <c r="AB82" s="10">
        <v>0</v>
      </c>
      <c r="AC82" s="10">
        <v>0</v>
      </c>
      <c r="AD82" s="10">
        <v>932.73</v>
      </c>
      <c r="AE82" s="8">
        <v>1033.32</v>
      </c>
      <c r="AF82" s="8">
        <v>1594.26</v>
      </c>
      <c r="AG82" s="8">
        <v>1034.5</v>
      </c>
      <c r="AH82" s="33">
        <v>0</v>
      </c>
      <c r="AI82" s="33">
        <v>0</v>
      </c>
      <c r="AJ82" s="42">
        <v>0</v>
      </c>
      <c r="AK82" s="7">
        <v>0</v>
      </c>
      <c r="AL82" s="7">
        <v>0</v>
      </c>
    </row>
    <row r="83" spans="1:38" ht="15">
      <c r="A83" s="16">
        <v>44958</v>
      </c>
      <c r="B83" s="8">
        <v>4429.8500000000004</v>
      </c>
      <c r="C83" s="8">
        <v>1755.29</v>
      </c>
      <c r="D83" s="10">
        <v>0</v>
      </c>
      <c r="E83" s="8">
        <v>2012.79</v>
      </c>
      <c r="F83" s="8">
        <v>1587.93</v>
      </c>
      <c r="G83" s="8">
        <v>1047.3699999999999</v>
      </c>
      <c r="H83" s="33">
        <v>0</v>
      </c>
      <c r="I83" s="8">
        <v>1193.83</v>
      </c>
      <c r="J83" s="8">
        <v>1408.34</v>
      </c>
      <c r="K83" s="8">
        <v>1424.01</v>
      </c>
      <c r="L83" s="8">
        <v>1456.59</v>
      </c>
      <c r="M83" s="10">
        <v>0</v>
      </c>
      <c r="N83" s="8">
        <v>2189.27</v>
      </c>
      <c r="O83" s="8">
        <v>3490.31</v>
      </c>
      <c r="P83" s="10">
        <v>0</v>
      </c>
      <c r="Q83" s="10">
        <v>766.75</v>
      </c>
      <c r="R83" s="10">
        <v>944.86</v>
      </c>
      <c r="S83" s="8">
        <v>1784.4</v>
      </c>
      <c r="T83" s="42">
        <v>0</v>
      </c>
      <c r="U83" s="10">
        <v>578.11</v>
      </c>
      <c r="V83" s="8">
        <v>3204.67</v>
      </c>
      <c r="W83" s="8">
        <v>4434.67</v>
      </c>
      <c r="X83" s="8">
        <v>6976.87</v>
      </c>
      <c r="Y83" s="8">
        <v>4956.8599999999997</v>
      </c>
      <c r="Z83" s="42">
        <v>0</v>
      </c>
      <c r="AA83" s="10">
        <v>0</v>
      </c>
      <c r="AB83" s="10">
        <v>0</v>
      </c>
      <c r="AC83" s="10">
        <v>0</v>
      </c>
      <c r="AD83" s="10">
        <v>746.18</v>
      </c>
      <c r="AE83" s="10">
        <v>826.61</v>
      </c>
      <c r="AF83" s="8">
        <v>1275.4100000000001</v>
      </c>
      <c r="AG83" s="10">
        <v>827.6</v>
      </c>
      <c r="AH83" s="33">
        <v>0</v>
      </c>
      <c r="AI83" s="33">
        <v>0</v>
      </c>
      <c r="AJ83" s="42">
        <v>0</v>
      </c>
      <c r="AK83" s="7">
        <v>0</v>
      </c>
      <c r="AL83" s="7">
        <v>0</v>
      </c>
    </row>
    <row r="84" spans="1:38" ht="15">
      <c r="A84" s="16">
        <v>44986</v>
      </c>
      <c r="B84" s="8">
        <v>4429.8500000000004</v>
      </c>
      <c r="C84" s="8">
        <v>1755.29</v>
      </c>
      <c r="D84" s="10">
        <v>0</v>
      </c>
      <c r="E84" s="8">
        <v>2012.79</v>
      </c>
      <c r="F84" s="8">
        <v>1587.93</v>
      </c>
      <c r="G84" s="8">
        <v>1047.3699999999999</v>
      </c>
      <c r="H84" s="33">
        <v>0</v>
      </c>
      <c r="I84" s="8">
        <v>1193.83</v>
      </c>
      <c r="J84" s="8">
        <v>1408.34</v>
      </c>
      <c r="K84" s="8">
        <v>1424.01</v>
      </c>
      <c r="L84" s="8">
        <v>1456.59</v>
      </c>
      <c r="M84" s="10">
        <v>0</v>
      </c>
      <c r="N84" s="8">
        <v>2189.27</v>
      </c>
      <c r="O84" s="8">
        <v>3490.31</v>
      </c>
      <c r="P84" s="10">
        <v>0</v>
      </c>
      <c r="Q84" s="10">
        <v>766.75</v>
      </c>
      <c r="R84" s="10">
        <v>944.86</v>
      </c>
      <c r="S84" s="8">
        <v>1784.4</v>
      </c>
      <c r="T84" s="42">
        <v>0</v>
      </c>
      <c r="U84" s="10">
        <v>578.11</v>
      </c>
      <c r="V84" s="8">
        <v>3204.67</v>
      </c>
      <c r="W84" s="8">
        <v>4434.67</v>
      </c>
      <c r="X84" s="8">
        <v>6976.87</v>
      </c>
      <c r="Y84" s="8">
        <v>4956.8599999999997</v>
      </c>
      <c r="Z84" s="42">
        <v>0</v>
      </c>
      <c r="AA84" s="10">
        <v>0</v>
      </c>
      <c r="AB84" s="10">
        <v>0</v>
      </c>
      <c r="AC84" s="10">
        <v>0</v>
      </c>
      <c r="AD84" s="10">
        <v>746.18</v>
      </c>
      <c r="AE84" s="10">
        <v>826.61</v>
      </c>
      <c r="AF84" s="8">
        <v>1275.4100000000001</v>
      </c>
      <c r="AG84" s="10">
        <v>827.6</v>
      </c>
      <c r="AH84" s="33">
        <v>0</v>
      </c>
      <c r="AI84" s="33">
        <v>0</v>
      </c>
      <c r="AJ84" s="42">
        <v>0</v>
      </c>
      <c r="AK84" s="7">
        <v>0</v>
      </c>
      <c r="AL84" s="7">
        <v>0</v>
      </c>
    </row>
    <row r="85" spans="1:38" ht="15">
      <c r="A85" s="16">
        <v>45017</v>
      </c>
      <c r="B85" s="8">
        <v>5584.24</v>
      </c>
      <c r="C85" s="8">
        <v>2194.12</v>
      </c>
      <c r="D85" s="10">
        <v>0</v>
      </c>
      <c r="E85" s="8">
        <v>2516.02</v>
      </c>
      <c r="F85" s="8">
        <v>1985.02</v>
      </c>
      <c r="G85" s="8">
        <v>1309.21</v>
      </c>
      <c r="H85" s="33">
        <v>0</v>
      </c>
      <c r="I85" s="8">
        <v>1492.29</v>
      </c>
      <c r="J85" s="8">
        <v>1759.21</v>
      </c>
      <c r="K85" s="8">
        <v>2164.98</v>
      </c>
      <c r="L85" s="8">
        <v>1898.97</v>
      </c>
      <c r="M85" s="10">
        <v>0</v>
      </c>
      <c r="N85" s="8">
        <v>2736.59</v>
      </c>
      <c r="O85" s="8">
        <v>4362.88</v>
      </c>
      <c r="P85" s="10">
        <v>0</v>
      </c>
      <c r="Q85" s="10">
        <v>958.44</v>
      </c>
      <c r="R85" s="8">
        <v>1181.05</v>
      </c>
      <c r="S85" s="8">
        <v>2230.5</v>
      </c>
      <c r="T85" s="42">
        <v>0</v>
      </c>
      <c r="U85" s="10">
        <v>718.63</v>
      </c>
      <c r="V85" s="8">
        <v>4005.83</v>
      </c>
      <c r="W85" s="8">
        <v>5543.33</v>
      </c>
      <c r="X85" s="8">
        <v>8830.1</v>
      </c>
      <c r="Y85" s="8">
        <v>6196.08</v>
      </c>
      <c r="Z85" s="42">
        <v>0</v>
      </c>
      <c r="AA85" s="10">
        <v>0</v>
      </c>
      <c r="AB85" s="10">
        <v>0</v>
      </c>
      <c r="AC85" s="10">
        <v>0</v>
      </c>
      <c r="AD85" s="10">
        <v>932.73</v>
      </c>
      <c r="AE85" s="8">
        <v>1033.2</v>
      </c>
      <c r="AF85" s="8">
        <v>2104.42</v>
      </c>
      <c r="AG85" s="8">
        <v>1034.5</v>
      </c>
      <c r="AH85" s="33">
        <v>0</v>
      </c>
      <c r="AI85" s="33">
        <v>0</v>
      </c>
      <c r="AJ85" s="42">
        <v>0</v>
      </c>
      <c r="AK85" s="7">
        <v>0</v>
      </c>
      <c r="AL85" s="7">
        <v>0</v>
      </c>
    </row>
    <row r="86" spans="1:38" ht="15">
      <c r="A86" s="16">
        <v>45047</v>
      </c>
      <c r="B86" s="8">
        <v>4476.78</v>
      </c>
      <c r="C86" s="8">
        <v>1755.29</v>
      </c>
      <c r="D86" s="10">
        <v>0</v>
      </c>
      <c r="E86" s="8">
        <v>2012.82</v>
      </c>
      <c r="F86" s="8">
        <v>1588.04</v>
      </c>
      <c r="G86" s="8">
        <v>1047.3699999999999</v>
      </c>
      <c r="H86" s="33">
        <v>0</v>
      </c>
      <c r="I86" s="8">
        <v>1193.83</v>
      </c>
      <c r="J86" s="8">
        <v>1407.12</v>
      </c>
      <c r="K86" s="8">
        <v>1808.98</v>
      </c>
      <c r="L86" s="8">
        <v>1534.83</v>
      </c>
      <c r="M86" s="10">
        <v>0</v>
      </c>
      <c r="N86" s="8">
        <v>2189.27</v>
      </c>
      <c r="O86" s="8">
        <v>3490.31</v>
      </c>
      <c r="P86" s="10">
        <v>0</v>
      </c>
      <c r="Q86" s="10">
        <v>766.75</v>
      </c>
      <c r="R86" s="10">
        <v>944.84</v>
      </c>
      <c r="S86" s="8">
        <v>1784.4</v>
      </c>
      <c r="T86" s="42">
        <v>0</v>
      </c>
      <c r="U86" s="10">
        <v>574.1</v>
      </c>
      <c r="V86" s="8">
        <v>3204.67</v>
      </c>
      <c r="W86" s="8">
        <v>4434.67</v>
      </c>
      <c r="X86" s="8">
        <v>7085.89</v>
      </c>
      <c r="Y86" s="8">
        <v>4956.8599999999997</v>
      </c>
      <c r="Z86" s="42">
        <v>0</v>
      </c>
      <c r="AA86" s="10">
        <v>0</v>
      </c>
      <c r="AB86" s="10">
        <v>0</v>
      </c>
      <c r="AC86" s="10">
        <v>0</v>
      </c>
      <c r="AD86" s="10">
        <v>746.18</v>
      </c>
      <c r="AE86" s="10">
        <v>826.55</v>
      </c>
      <c r="AF86" s="8">
        <v>1785.57</v>
      </c>
      <c r="AG86" s="10">
        <v>827.6</v>
      </c>
      <c r="AH86" s="33">
        <v>0</v>
      </c>
      <c r="AI86" s="33">
        <v>0</v>
      </c>
      <c r="AJ86" s="42">
        <v>0</v>
      </c>
      <c r="AK86" s="7">
        <v>0</v>
      </c>
      <c r="AL86" s="7">
        <v>0</v>
      </c>
    </row>
    <row r="87" spans="1:38" ht="15">
      <c r="A87" s="16">
        <v>45078</v>
      </c>
      <c r="B87" s="8">
        <v>4476.78</v>
      </c>
      <c r="C87" s="8">
        <v>1755.29</v>
      </c>
      <c r="D87" s="10">
        <v>0</v>
      </c>
      <c r="E87" s="8">
        <v>2012.82</v>
      </c>
      <c r="F87" s="8">
        <v>1588.04</v>
      </c>
      <c r="G87" s="8">
        <v>1047.3699999999999</v>
      </c>
      <c r="H87" s="33">
        <v>0</v>
      </c>
      <c r="I87" s="8">
        <v>1193.83</v>
      </c>
      <c r="J87" s="8">
        <v>1407.12</v>
      </c>
      <c r="K87" s="8">
        <v>1808.98</v>
      </c>
      <c r="L87" s="8">
        <v>1534.83</v>
      </c>
      <c r="M87" s="10">
        <v>0</v>
      </c>
      <c r="N87" s="8">
        <v>2189.27</v>
      </c>
      <c r="O87" s="8">
        <v>3490.31</v>
      </c>
      <c r="P87" s="10">
        <v>0</v>
      </c>
      <c r="Q87" s="10">
        <v>766.75</v>
      </c>
      <c r="R87" s="10">
        <v>944.84</v>
      </c>
      <c r="S87" s="8">
        <v>1784.4</v>
      </c>
      <c r="T87" s="42">
        <v>0</v>
      </c>
      <c r="U87" s="10">
        <v>574.1</v>
      </c>
      <c r="V87" s="8">
        <v>3204.67</v>
      </c>
      <c r="W87" s="8">
        <v>4434.67</v>
      </c>
      <c r="X87" s="8">
        <v>7085.89</v>
      </c>
      <c r="Y87" s="8">
        <v>4956.8599999999997</v>
      </c>
      <c r="Z87" s="42">
        <v>0</v>
      </c>
      <c r="AA87" s="10">
        <v>0</v>
      </c>
      <c r="AB87" s="10">
        <v>0</v>
      </c>
      <c r="AC87" s="10">
        <v>0</v>
      </c>
      <c r="AD87" s="10">
        <v>746.18</v>
      </c>
      <c r="AE87" s="10">
        <v>826.55</v>
      </c>
      <c r="AF87" s="8">
        <v>1785.57</v>
      </c>
      <c r="AG87" s="10">
        <v>827.6</v>
      </c>
      <c r="AH87" s="33">
        <v>0</v>
      </c>
      <c r="AI87" s="33">
        <v>0</v>
      </c>
      <c r="AJ87" s="42">
        <v>0</v>
      </c>
      <c r="AK87" s="7">
        <v>0</v>
      </c>
      <c r="AL87" s="7">
        <v>0</v>
      </c>
    </row>
    <row r="88" spans="1:38" ht="15">
      <c r="A88" s="16">
        <v>45108</v>
      </c>
      <c r="B88" s="8">
        <v>5533.05</v>
      </c>
      <c r="C88" s="8">
        <v>2194.14</v>
      </c>
      <c r="D88" s="10">
        <v>0</v>
      </c>
      <c r="E88" s="8">
        <v>2516.56</v>
      </c>
      <c r="F88" s="8">
        <v>1984.91</v>
      </c>
      <c r="G88" s="8">
        <v>1309.1400000000001</v>
      </c>
      <c r="H88" s="33">
        <v>0</v>
      </c>
      <c r="I88" s="8">
        <v>1490.31</v>
      </c>
      <c r="J88" s="8">
        <v>1762.54</v>
      </c>
      <c r="K88" s="8">
        <v>1780.01</v>
      </c>
      <c r="L88" s="8">
        <v>1820.74</v>
      </c>
      <c r="M88" s="10">
        <v>0</v>
      </c>
      <c r="N88" s="8">
        <v>2745.42</v>
      </c>
      <c r="O88" s="8">
        <v>4363.0200000000004</v>
      </c>
      <c r="P88" s="10">
        <v>0</v>
      </c>
      <c r="Q88" s="10">
        <v>992.39</v>
      </c>
      <c r="R88" s="8">
        <v>1157.32</v>
      </c>
      <c r="S88" s="8">
        <v>2230.5</v>
      </c>
      <c r="T88" s="42">
        <v>0</v>
      </c>
      <c r="U88" s="10">
        <v>722.64</v>
      </c>
      <c r="V88" s="8">
        <v>4005.83</v>
      </c>
      <c r="W88" s="8">
        <v>5537.86</v>
      </c>
      <c r="X88" s="8">
        <v>8721.09</v>
      </c>
      <c r="Y88" s="8">
        <v>6194.99</v>
      </c>
      <c r="Z88" s="42">
        <v>0</v>
      </c>
      <c r="AA88" s="10">
        <v>0</v>
      </c>
      <c r="AB88" s="10">
        <v>0</v>
      </c>
      <c r="AC88" s="10">
        <v>0</v>
      </c>
      <c r="AD88" s="10">
        <v>932.7</v>
      </c>
      <c r="AE88" s="8">
        <v>1033.25</v>
      </c>
      <c r="AF88" s="8">
        <v>1702.53</v>
      </c>
      <c r="AG88" s="8">
        <v>1151.9100000000001</v>
      </c>
      <c r="AH88" s="33">
        <v>0</v>
      </c>
      <c r="AI88" s="33">
        <v>0</v>
      </c>
      <c r="AJ88" s="42">
        <v>0</v>
      </c>
      <c r="AK88" s="7">
        <v>0</v>
      </c>
      <c r="AL88" s="7">
        <v>0</v>
      </c>
    </row>
    <row r="89" spans="1:38" ht="15">
      <c r="A89" s="16">
        <v>45139</v>
      </c>
      <c r="B89" s="8">
        <v>4426.4399999999996</v>
      </c>
      <c r="C89" s="8">
        <v>1755.31</v>
      </c>
      <c r="D89" s="10">
        <v>0</v>
      </c>
      <c r="E89" s="8">
        <v>2013.25</v>
      </c>
      <c r="F89" s="8">
        <v>1587.93</v>
      </c>
      <c r="G89" s="8">
        <v>1047.31</v>
      </c>
      <c r="H89" s="33">
        <v>0</v>
      </c>
      <c r="I89" s="8">
        <v>1192.25</v>
      </c>
      <c r="J89" s="8">
        <v>1410.03</v>
      </c>
      <c r="K89" s="8">
        <v>1424.01</v>
      </c>
      <c r="L89" s="8">
        <v>1456.59</v>
      </c>
      <c r="M89" s="10">
        <v>0</v>
      </c>
      <c r="N89" s="8">
        <v>2196.34</v>
      </c>
      <c r="O89" s="8">
        <v>3490.41</v>
      </c>
      <c r="P89" s="10">
        <v>0</v>
      </c>
      <c r="Q89" s="10">
        <v>804.4</v>
      </c>
      <c r="R89" s="10">
        <v>925.86</v>
      </c>
      <c r="S89" s="8">
        <v>1784.4</v>
      </c>
      <c r="T89" s="42">
        <v>0</v>
      </c>
      <c r="U89" s="10">
        <v>578.11</v>
      </c>
      <c r="V89" s="8">
        <v>3204.67</v>
      </c>
      <c r="W89" s="8">
        <v>4430.2</v>
      </c>
      <c r="X89" s="8">
        <v>6976.87</v>
      </c>
      <c r="Y89" s="8">
        <v>4955.99</v>
      </c>
      <c r="Z89" s="42">
        <v>0</v>
      </c>
      <c r="AA89" s="10">
        <v>0</v>
      </c>
      <c r="AB89" s="10">
        <v>0</v>
      </c>
      <c r="AC89" s="10">
        <v>0</v>
      </c>
      <c r="AD89" s="10">
        <v>746.18</v>
      </c>
      <c r="AE89" s="10">
        <v>826.6</v>
      </c>
      <c r="AF89" s="8">
        <v>1362.02</v>
      </c>
      <c r="AG89" s="10">
        <v>921.53</v>
      </c>
      <c r="AH89" s="33">
        <v>0</v>
      </c>
      <c r="AI89" s="33">
        <v>0</v>
      </c>
      <c r="AJ89" s="42">
        <v>0</v>
      </c>
      <c r="AK89" s="7">
        <v>0</v>
      </c>
      <c r="AL89" s="7">
        <v>0</v>
      </c>
    </row>
    <row r="90" spans="1:38" ht="15">
      <c r="A90" s="16">
        <v>45170</v>
      </c>
      <c r="B90" s="8">
        <v>4426.4399999999996</v>
      </c>
      <c r="C90" s="8">
        <v>1755.31</v>
      </c>
      <c r="D90" s="10">
        <v>0</v>
      </c>
      <c r="E90" s="8">
        <v>2013.25</v>
      </c>
      <c r="F90" s="8">
        <v>1587.93</v>
      </c>
      <c r="G90" s="8">
        <v>1047.31</v>
      </c>
      <c r="H90" s="33">
        <v>0</v>
      </c>
      <c r="I90" s="8">
        <v>1192.25</v>
      </c>
      <c r="J90" s="8">
        <v>1410.03</v>
      </c>
      <c r="K90" s="8">
        <v>1424.01</v>
      </c>
      <c r="L90" s="8">
        <v>1456.59</v>
      </c>
      <c r="M90" s="10">
        <v>0</v>
      </c>
      <c r="N90" s="8">
        <v>2196.34</v>
      </c>
      <c r="O90" s="8">
        <v>3490.41</v>
      </c>
      <c r="P90" s="10">
        <v>0</v>
      </c>
      <c r="Q90" s="10">
        <v>804.4</v>
      </c>
      <c r="R90" s="10">
        <v>925.86</v>
      </c>
      <c r="S90" s="8">
        <v>1784.4</v>
      </c>
      <c r="T90" s="42">
        <v>0</v>
      </c>
      <c r="U90" s="10">
        <v>578.11</v>
      </c>
      <c r="V90" s="8">
        <v>3204.67</v>
      </c>
      <c r="W90" s="8">
        <v>4430.2</v>
      </c>
      <c r="X90" s="8">
        <v>6976.87</v>
      </c>
      <c r="Y90" s="8">
        <v>4955.99</v>
      </c>
      <c r="Z90" s="42">
        <v>0</v>
      </c>
      <c r="AA90" s="10">
        <v>0</v>
      </c>
      <c r="AB90" s="10">
        <v>0</v>
      </c>
      <c r="AC90" s="10">
        <v>0</v>
      </c>
      <c r="AD90" s="10">
        <v>746.18</v>
      </c>
      <c r="AE90" s="10">
        <v>826.6</v>
      </c>
      <c r="AF90" s="8">
        <v>1362.02</v>
      </c>
      <c r="AG90" s="10">
        <v>921.53</v>
      </c>
      <c r="AH90" s="33">
        <v>0</v>
      </c>
      <c r="AI90" s="33">
        <v>0</v>
      </c>
      <c r="AJ90" s="42">
        <v>0</v>
      </c>
      <c r="AK90" s="7">
        <v>0</v>
      </c>
      <c r="AL90" s="7">
        <v>0</v>
      </c>
    </row>
    <row r="91" spans="1:38" ht="15">
      <c r="A91" s="16">
        <v>45200</v>
      </c>
      <c r="B91" s="8">
        <v>5533.05</v>
      </c>
      <c r="C91" s="8">
        <v>2194.06</v>
      </c>
      <c r="D91" s="10">
        <v>0</v>
      </c>
      <c r="E91" s="8">
        <v>2516.1</v>
      </c>
      <c r="F91" s="8">
        <v>1984.91</v>
      </c>
      <c r="G91" s="8">
        <v>1309.1400000000001</v>
      </c>
      <c r="H91" s="33">
        <v>0</v>
      </c>
      <c r="I91" s="8">
        <v>1491.59</v>
      </c>
      <c r="J91" s="8">
        <v>1760.23</v>
      </c>
      <c r="K91" s="8">
        <v>1780.01</v>
      </c>
      <c r="L91" s="8">
        <v>1820.74</v>
      </c>
      <c r="M91" s="10">
        <v>0</v>
      </c>
      <c r="N91" s="8">
        <v>2745.42</v>
      </c>
      <c r="O91" s="8">
        <v>4362.96</v>
      </c>
      <c r="P91" s="10">
        <v>0</v>
      </c>
      <c r="Q91" s="8">
        <v>1005.5</v>
      </c>
      <c r="R91" s="8">
        <v>1176.33</v>
      </c>
      <c r="S91" s="8">
        <v>2230.5</v>
      </c>
      <c r="T91" s="42">
        <v>0</v>
      </c>
      <c r="U91" s="10">
        <v>722.64</v>
      </c>
      <c r="V91" s="8">
        <v>4005.83</v>
      </c>
      <c r="W91" s="8">
        <v>5537.76</v>
      </c>
      <c r="X91" s="8">
        <v>8721.09</v>
      </c>
      <c r="Y91" s="8">
        <v>6195.86</v>
      </c>
      <c r="Z91" s="42">
        <v>0</v>
      </c>
      <c r="AA91" s="42">
        <v>0</v>
      </c>
      <c r="AB91" s="10">
        <v>0</v>
      </c>
      <c r="AC91" s="10">
        <v>0</v>
      </c>
      <c r="AD91" s="10">
        <v>932.73</v>
      </c>
      <c r="AE91" s="8">
        <v>1033.33</v>
      </c>
      <c r="AF91" s="8">
        <v>1615.91</v>
      </c>
      <c r="AG91" s="8">
        <v>1057.98</v>
      </c>
      <c r="AH91" s="33">
        <v>0</v>
      </c>
      <c r="AI91" s="33">
        <v>0</v>
      </c>
      <c r="AJ91" s="42">
        <v>0</v>
      </c>
      <c r="AK91" s="7">
        <v>0</v>
      </c>
      <c r="AL91" s="7">
        <v>0</v>
      </c>
    </row>
    <row r="92" spans="1:38" ht="15">
      <c r="A92" s="16">
        <v>45231</v>
      </c>
      <c r="B92" s="8">
        <v>4426.4399999999996</v>
      </c>
      <c r="C92" s="8">
        <v>1755.23</v>
      </c>
      <c r="D92" s="10">
        <v>0</v>
      </c>
      <c r="E92" s="8">
        <v>2012.79</v>
      </c>
      <c r="F92" s="8">
        <v>1587.93</v>
      </c>
      <c r="G92" s="8">
        <v>1047.31</v>
      </c>
      <c r="H92" s="33">
        <v>0</v>
      </c>
      <c r="I92" s="8">
        <v>1193.53</v>
      </c>
      <c r="J92" s="8">
        <v>1405.43</v>
      </c>
      <c r="K92" s="8">
        <v>1424.01</v>
      </c>
      <c r="L92" s="8">
        <v>1456.59</v>
      </c>
      <c r="M92" s="10">
        <v>0</v>
      </c>
      <c r="N92" s="8">
        <v>2196.34</v>
      </c>
      <c r="O92" s="8">
        <v>3490.31</v>
      </c>
      <c r="P92" s="10">
        <v>0</v>
      </c>
      <c r="Q92" s="10">
        <v>804.4</v>
      </c>
      <c r="R92" s="10">
        <v>944.86</v>
      </c>
      <c r="S92" s="8">
        <v>1784.4</v>
      </c>
      <c r="T92" s="42">
        <v>0</v>
      </c>
      <c r="U92" s="10">
        <v>578.11</v>
      </c>
      <c r="V92" s="8">
        <v>3204.67</v>
      </c>
      <c r="W92" s="8">
        <v>4430.21</v>
      </c>
      <c r="X92" s="8">
        <v>6976.87</v>
      </c>
      <c r="Y92" s="8">
        <v>4956.8599999999997</v>
      </c>
      <c r="Z92" s="42">
        <v>0</v>
      </c>
      <c r="AA92" s="42">
        <v>0</v>
      </c>
      <c r="AB92" s="10">
        <v>0</v>
      </c>
      <c r="AC92" s="10">
        <v>0</v>
      </c>
      <c r="AD92" s="10">
        <v>746.18</v>
      </c>
      <c r="AE92" s="10">
        <v>826.68</v>
      </c>
      <c r="AF92" s="8">
        <v>1275.4100000000001</v>
      </c>
      <c r="AG92" s="10">
        <v>827.6</v>
      </c>
      <c r="AH92" s="33">
        <v>0</v>
      </c>
      <c r="AI92" s="33">
        <v>0</v>
      </c>
      <c r="AJ92" s="42">
        <v>0</v>
      </c>
      <c r="AK92" s="7">
        <v>0</v>
      </c>
      <c r="AL92" s="7">
        <v>0</v>
      </c>
    </row>
    <row r="93" spans="1:38" ht="15">
      <c r="A93" s="16">
        <v>45261</v>
      </c>
      <c r="B93" s="8">
        <v>5531.3</v>
      </c>
      <c r="C93" s="8">
        <v>2194.12</v>
      </c>
      <c r="D93" s="10">
        <v>0</v>
      </c>
      <c r="E93" s="8">
        <v>2515.98</v>
      </c>
      <c r="F93" s="8">
        <v>1984.91</v>
      </c>
      <c r="G93" s="8">
        <v>1309.21</v>
      </c>
      <c r="H93" s="33">
        <v>0</v>
      </c>
      <c r="I93" s="8">
        <v>1491.91</v>
      </c>
      <c r="J93" s="8">
        <v>1758.94</v>
      </c>
      <c r="K93" s="8">
        <v>1780.01</v>
      </c>
      <c r="L93" s="8">
        <v>1820.74</v>
      </c>
      <c r="M93" s="10">
        <v>0</v>
      </c>
      <c r="N93" s="8">
        <v>2745.42</v>
      </c>
      <c r="O93" s="8">
        <v>4362.88</v>
      </c>
      <c r="P93" s="10">
        <v>0</v>
      </c>
      <c r="Q93" s="8">
        <v>1005.5</v>
      </c>
      <c r="R93" s="8">
        <v>1181.08</v>
      </c>
      <c r="S93" s="8">
        <v>2230.5</v>
      </c>
      <c r="T93" s="42">
        <v>0</v>
      </c>
      <c r="U93" s="10">
        <v>722.64</v>
      </c>
      <c r="V93" s="8">
        <v>4005.83</v>
      </c>
      <c r="W93" s="8">
        <v>5543.3</v>
      </c>
      <c r="X93" s="8">
        <v>8721.09</v>
      </c>
      <c r="Y93" s="8">
        <v>6196.08</v>
      </c>
      <c r="Z93" s="42">
        <v>0</v>
      </c>
      <c r="AA93" s="42">
        <v>0</v>
      </c>
      <c r="AB93" s="10">
        <v>0</v>
      </c>
      <c r="AC93" s="10">
        <v>0</v>
      </c>
      <c r="AD93" s="10">
        <v>932.73</v>
      </c>
      <c r="AE93" s="8">
        <v>1033.3499999999999</v>
      </c>
      <c r="AF93" s="8">
        <v>1594.26</v>
      </c>
      <c r="AG93" s="8">
        <v>1034.5</v>
      </c>
      <c r="AH93" s="33">
        <v>0</v>
      </c>
      <c r="AI93" s="33">
        <v>0</v>
      </c>
      <c r="AJ93" s="42">
        <v>0</v>
      </c>
      <c r="AK93" s="7">
        <v>0</v>
      </c>
      <c r="AL93" s="7">
        <v>0</v>
      </c>
    </row>
    <row r="94" spans="1:38" ht="15">
      <c r="A94" s="16">
        <v>45292</v>
      </c>
      <c r="B94" s="8">
        <v>8082.13</v>
      </c>
      <c r="C94" s="8">
        <v>3295.68</v>
      </c>
      <c r="D94" s="10">
        <v>0</v>
      </c>
      <c r="E94" s="8">
        <v>3962.84</v>
      </c>
      <c r="F94" s="8">
        <v>3007.02</v>
      </c>
      <c r="G94" s="8">
        <v>2492.7800000000002</v>
      </c>
      <c r="H94" s="33">
        <v>0</v>
      </c>
      <c r="I94" s="8">
        <v>2089.35</v>
      </c>
      <c r="J94" s="8">
        <v>2464.4699999999998</v>
      </c>
      <c r="K94" s="8">
        <v>3167.36</v>
      </c>
      <c r="L94" s="8">
        <v>2681.12</v>
      </c>
      <c r="M94" s="10">
        <v>0</v>
      </c>
      <c r="N94" s="8">
        <v>4015.27</v>
      </c>
      <c r="O94" s="8">
        <v>6386.55</v>
      </c>
      <c r="P94" s="10">
        <v>0</v>
      </c>
      <c r="Q94" s="8">
        <v>1407.35</v>
      </c>
      <c r="R94" s="8">
        <v>1621.54</v>
      </c>
      <c r="S94" s="8">
        <v>3009.3</v>
      </c>
      <c r="T94" s="42">
        <v>0</v>
      </c>
      <c r="U94" s="8">
        <v>1194.03</v>
      </c>
      <c r="V94" s="8">
        <v>5852</v>
      </c>
      <c r="W94" s="8">
        <v>8134.89</v>
      </c>
      <c r="X94" s="8">
        <v>12781.76</v>
      </c>
      <c r="Y94" s="8">
        <v>9008.14</v>
      </c>
      <c r="Z94" s="42">
        <v>0</v>
      </c>
      <c r="AA94" s="42">
        <v>0</v>
      </c>
      <c r="AB94" s="10">
        <v>0</v>
      </c>
      <c r="AC94" s="10">
        <v>0</v>
      </c>
      <c r="AD94" s="8">
        <v>1707.6</v>
      </c>
      <c r="AE94" s="8">
        <v>1446.46</v>
      </c>
      <c r="AF94" s="8">
        <v>4463.93</v>
      </c>
      <c r="AG94" s="8">
        <v>1448.3</v>
      </c>
      <c r="AH94" s="33">
        <v>0</v>
      </c>
      <c r="AI94" s="33">
        <v>0</v>
      </c>
      <c r="AJ94" s="42">
        <v>0</v>
      </c>
      <c r="AK94" s="7">
        <v>0</v>
      </c>
      <c r="AL94" s="7">
        <v>0</v>
      </c>
    </row>
    <row r="95" spans="1:38" ht="15">
      <c r="A95" s="16">
        <v>45323</v>
      </c>
      <c r="B95" s="8">
        <v>4618.3599999999997</v>
      </c>
      <c r="C95" s="8">
        <v>1883.24</v>
      </c>
      <c r="D95" s="10">
        <v>0</v>
      </c>
      <c r="E95" s="8">
        <v>2264.48</v>
      </c>
      <c r="F95" s="8">
        <v>1718.3</v>
      </c>
      <c r="G95" s="8">
        <v>1424.45</v>
      </c>
      <c r="H95" s="33">
        <v>0</v>
      </c>
      <c r="I95" s="8">
        <v>1193.9100000000001</v>
      </c>
      <c r="J95" s="8">
        <v>1408.27</v>
      </c>
      <c r="K95" s="8">
        <v>1809.92</v>
      </c>
      <c r="L95" s="8">
        <v>1532.07</v>
      </c>
      <c r="M95" s="10">
        <v>0</v>
      </c>
      <c r="N95" s="8">
        <v>2294.44</v>
      </c>
      <c r="O95" s="8">
        <v>3649.46</v>
      </c>
      <c r="P95" s="10">
        <v>0</v>
      </c>
      <c r="Q95" s="10">
        <v>804.2</v>
      </c>
      <c r="R95" s="10">
        <v>926.59</v>
      </c>
      <c r="S95" s="8">
        <v>1719.6</v>
      </c>
      <c r="T95" s="42">
        <v>0</v>
      </c>
      <c r="U95" s="10">
        <v>682.31</v>
      </c>
      <c r="V95" s="8">
        <v>3344</v>
      </c>
      <c r="W95" s="8">
        <v>4648.51</v>
      </c>
      <c r="X95" s="8">
        <v>7303.86</v>
      </c>
      <c r="Y95" s="8">
        <v>5147.51</v>
      </c>
      <c r="Z95" s="42">
        <v>0</v>
      </c>
      <c r="AA95" s="42">
        <v>0</v>
      </c>
      <c r="AB95" s="10">
        <v>0</v>
      </c>
      <c r="AC95" s="10">
        <v>0</v>
      </c>
      <c r="AD95" s="10">
        <v>975.77</v>
      </c>
      <c r="AE95" s="10">
        <v>826.55</v>
      </c>
      <c r="AF95" s="8">
        <v>2550.8200000000002</v>
      </c>
      <c r="AG95" s="10">
        <v>827.6</v>
      </c>
      <c r="AH95" s="33">
        <v>0</v>
      </c>
      <c r="AI95" s="33">
        <v>0</v>
      </c>
      <c r="AJ95" s="42">
        <v>0</v>
      </c>
      <c r="AK95" s="7">
        <v>0</v>
      </c>
      <c r="AL95" s="7">
        <v>0</v>
      </c>
    </row>
    <row r="96" spans="1:38" ht="15">
      <c r="A96" s="16">
        <v>45352</v>
      </c>
      <c r="B96" s="8">
        <v>5772.95</v>
      </c>
      <c r="C96" s="8">
        <v>2354.0500000000002</v>
      </c>
      <c r="D96" s="10">
        <v>0</v>
      </c>
      <c r="E96" s="8">
        <v>2830.6</v>
      </c>
      <c r="F96" s="8">
        <v>2147.87</v>
      </c>
      <c r="G96" s="8">
        <v>1780.56</v>
      </c>
      <c r="H96" s="33">
        <v>0</v>
      </c>
      <c r="I96" s="8">
        <v>1492.39</v>
      </c>
      <c r="J96" s="8">
        <v>1760.34</v>
      </c>
      <c r="K96" s="8">
        <v>2262.4</v>
      </c>
      <c r="L96" s="8">
        <v>1915.08</v>
      </c>
      <c r="M96" s="10">
        <v>0</v>
      </c>
      <c r="N96" s="8">
        <v>2868.05</v>
      </c>
      <c r="O96" s="8">
        <v>4561.82</v>
      </c>
      <c r="P96" s="10">
        <v>0</v>
      </c>
      <c r="Q96" s="8">
        <v>1005.25</v>
      </c>
      <c r="R96" s="8">
        <v>1158.24</v>
      </c>
      <c r="S96" s="8">
        <v>2149.5</v>
      </c>
      <c r="T96" s="42">
        <v>0</v>
      </c>
      <c r="U96" s="10">
        <v>852.88</v>
      </c>
      <c r="V96" s="8">
        <v>4180</v>
      </c>
      <c r="W96" s="8">
        <v>5810.63</v>
      </c>
      <c r="X96" s="8">
        <v>9129.83</v>
      </c>
      <c r="Y96" s="8">
        <v>6434.39</v>
      </c>
      <c r="Z96" s="42">
        <v>0</v>
      </c>
      <c r="AA96" s="42">
        <v>0</v>
      </c>
      <c r="AB96" s="10">
        <v>0</v>
      </c>
      <c r="AC96" s="10">
        <v>0</v>
      </c>
      <c r="AD96" s="8">
        <v>1219.72</v>
      </c>
      <c r="AE96" s="8">
        <v>1033.18</v>
      </c>
      <c r="AF96" s="8">
        <v>3188.52</v>
      </c>
      <c r="AG96" s="8">
        <v>1034.5</v>
      </c>
      <c r="AH96" s="33">
        <v>0</v>
      </c>
      <c r="AI96" s="33">
        <v>0</v>
      </c>
      <c r="AJ96" s="42">
        <v>0</v>
      </c>
      <c r="AK96" s="7">
        <v>0</v>
      </c>
      <c r="AL96" s="7">
        <v>0</v>
      </c>
    </row>
    <row r="97" spans="1:39" ht="15">
      <c r="A97" s="16">
        <v>45383</v>
      </c>
      <c r="B97" s="8">
        <v>4618.3599999999997</v>
      </c>
      <c r="C97" s="8">
        <v>1883.24</v>
      </c>
      <c r="D97" s="10">
        <v>0</v>
      </c>
      <c r="E97" s="8">
        <v>2259.29</v>
      </c>
      <c r="F97" s="8">
        <v>1718.3</v>
      </c>
      <c r="G97" s="8">
        <v>1424.45</v>
      </c>
      <c r="H97" s="33">
        <v>0</v>
      </c>
      <c r="I97" s="8">
        <v>2874.59</v>
      </c>
      <c r="J97" s="8">
        <v>1408.27</v>
      </c>
      <c r="K97" s="8">
        <v>1809.92</v>
      </c>
      <c r="L97" s="8">
        <v>1532.07</v>
      </c>
      <c r="M97" s="10">
        <v>0</v>
      </c>
      <c r="N97" s="8">
        <v>1432.77</v>
      </c>
      <c r="O97" s="8">
        <v>3649.46</v>
      </c>
      <c r="P97" s="10">
        <v>0</v>
      </c>
      <c r="Q97" s="10">
        <v>816.72</v>
      </c>
      <c r="R97" s="10">
        <v>919.3</v>
      </c>
      <c r="S97" s="8">
        <v>1719.6</v>
      </c>
      <c r="T97" s="42">
        <v>0</v>
      </c>
      <c r="U97" s="10">
        <v>658.06</v>
      </c>
      <c r="V97" s="8">
        <v>3344</v>
      </c>
      <c r="W97" s="8">
        <v>4648.51</v>
      </c>
      <c r="X97" s="8">
        <v>7303.86</v>
      </c>
      <c r="Y97" s="8">
        <v>5147.51</v>
      </c>
      <c r="Z97" s="42">
        <v>0</v>
      </c>
      <c r="AA97" s="42">
        <v>0</v>
      </c>
      <c r="AB97" s="8">
        <v>1571.54</v>
      </c>
      <c r="AC97" s="10">
        <v>0</v>
      </c>
      <c r="AD97" s="8">
        <v>2107.9299999999998</v>
      </c>
      <c r="AE97" s="10">
        <v>826.55</v>
      </c>
      <c r="AF97" s="8">
        <v>3446.4</v>
      </c>
      <c r="AG97" s="10">
        <v>827.6</v>
      </c>
      <c r="AH97" s="10">
        <v>382.87</v>
      </c>
      <c r="AI97" s="33">
        <v>0</v>
      </c>
      <c r="AJ97" s="42">
        <v>0</v>
      </c>
      <c r="AK97" s="7">
        <v>0</v>
      </c>
      <c r="AL97" s="7">
        <v>0</v>
      </c>
    </row>
    <row r="98" spans="1:39" ht="15">
      <c r="A98" s="16">
        <v>45413</v>
      </c>
      <c r="B98" s="8">
        <v>4618.3599999999997</v>
      </c>
      <c r="C98" s="8">
        <v>1883.24</v>
      </c>
      <c r="D98" s="10">
        <v>0</v>
      </c>
      <c r="E98" s="8">
        <v>2259.29</v>
      </c>
      <c r="F98" s="8">
        <v>1718.3</v>
      </c>
      <c r="G98" s="8">
        <v>1424.45</v>
      </c>
      <c r="H98" s="33">
        <v>0</v>
      </c>
      <c r="I98" s="8">
        <v>2874.59</v>
      </c>
      <c r="J98" s="8">
        <v>1408.27</v>
      </c>
      <c r="K98" s="8">
        <v>1809.92</v>
      </c>
      <c r="L98" s="8">
        <v>1532.07</v>
      </c>
      <c r="M98" s="10">
        <v>0</v>
      </c>
      <c r="N98" s="8">
        <v>1432.77</v>
      </c>
      <c r="O98" s="8">
        <v>3649.46</v>
      </c>
      <c r="P98" s="10">
        <v>0</v>
      </c>
      <c r="Q98" s="10">
        <v>816.72</v>
      </c>
      <c r="R98" s="10">
        <v>919.3</v>
      </c>
      <c r="S98" s="8">
        <v>1719.6</v>
      </c>
      <c r="T98" s="42">
        <v>0</v>
      </c>
      <c r="U98" s="10">
        <v>658.06</v>
      </c>
      <c r="V98" s="8">
        <v>3344</v>
      </c>
      <c r="W98" s="8">
        <v>4648.51</v>
      </c>
      <c r="X98" s="8">
        <v>7303.86</v>
      </c>
      <c r="Y98" s="8">
        <v>5147.51</v>
      </c>
      <c r="Z98" s="42">
        <v>0</v>
      </c>
      <c r="AA98" s="42">
        <v>0</v>
      </c>
      <c r="AB98" s="8">
        <v>1571.54</v>
      </c>
      <c r="AC98" s="10">
        <v>0</v>
      </c>
      <c r="AD98" s="8">
        <v>2107.9299999999998</v>
      </c>
      <c r="AE98" s="10">
        <v>826.55</v>
      </c>
      <c r="AF98" s="8">
        <v>3446.4</v>
      </c>
      <c r="AG98" s="10">
        <v>827.6</v>
      </c>
      <c r="AH98" s="10">
        <v>382.87</v>
      </c>
      <c r="AI98" s="33">
        <v>0</v>
      </c>
      <c r="AJ98" s="42">
        <v>0</v>
      </c>
      <c r="AK98" s="7">
        <v>0</v>
      </c>
      <c r="AL98" s="7">
        <v>0</v>
      </c>
    </row>
    <row r="99" spans="1:39" ht="15">
      <c r="A99" s="16">
        <v>45444</v>
      </c>
      <c r="B99" s="8">
        <v>5772.95</v>
      </c>
      <c r="C99" s="8">
        <v>2354.0500000000002</v>
      </c>
      <c r="D99" s="10">
        <v>0</v>
      </c>
      <c r="E99" s="8">
        <v>2824.11</v>
      </c>
      <c r="F99" s="8">
        <v>2147.87</v>
      </c>
      <c r="G99" s="8">
        <v>1780.56</v>
      </c>
      <c r="H99" s="33">
        <v>0</v>
      </c>
      <c r="I99" s="8">
        <v>3593.24</v>
      </c>
      <c r="J99" s="8">
        <v>1760.34</v>
      </c>
      <c r="K99" s="8">
        <v>2262.4</v>
      </c>
      <c r="L99" s="8">
        <v>1915.08</v>
      </c>
      <c r="M99" s="10">
        <v>0</v>
      </c>
      <c r="N99" s="8">
        <v>1790.96</v>
      </c>
      <c r="O99" s="8">
        <v>4561.82</v>
      </c>
      <c r="P99" s="10">
        <v>0</v>
      </c>
      <c r="Q99" s="8">
        <v>1020.9</v>
      </c>
      <c r="R99" s="8">
        <v>1149.1199999999999</v>
      </c>
      <c r="S99" s="8">
        <v>2149.5</v>
      </c>
      <c r="T99" s="42">
        <v>0</v>
      </c>
      <c r="U99" s="10">
        <v>822.58</v>
      </c>
      <c r="V99" s="8">
        <v>4180</v>
      </c>
      <c r="W99" s="8">
        <v>5810.63</v>
      </c>
      <c r="X99" s="8">
        <v>9129.83</v>
      </c>
      <c r="Y99" s="8">
        <v>6434.39</v>
      </c>
      <c r="Z99" s="42">
        <v>0</v>
      </c>
      <c r="AA99" s="42">
        <v>0</v>
      </c>
      <c r="AB99" s="8">
        <v>1964.43</v>
      </c>
      <c r="AC99" s="10">
        <v>0</v>
      </c>
      <c r="AD99" s="8">
        <v>2634.92</v>
      </c>
      <c r="AE99" s="8">
        <v>1033.18</v>
      </c>
      <c r="AF99" s="8">
        <v>4308.01</v>
      </c>
      <c r="AG99" s="8">
        <v>1034.5</v>
      </c>
      <c r="AH99" s="10">
        <v>382.87</v>
      </c>
      <c r="AI99" s="33">
        <v>0</v>
      </c>
      <c r="AJ99" s="42">
        <v>0</v>
      </c>
      <c r="AK99" s="7">
        <v>0</v>
      </c>
      <c r="AL99" s="7">
        <v>0</v>
      </c>
    </row>
    <row r="100" spans="1:39" ht="15">
      <c r="A100" s="16">
        <v>45474</v>
      </c>
      <c r="B100" s="8">
        <v>5672.7</v>
      </c>
      <c r="C100" s="8">
        <v>2194.12</v>
      </c>
      <c r="D100" s="10">
        <v>0</v>
      </c>
      <c r="E100" s="8">
        <v>2516.0300000000002</v>
      </c>
      <c r="F100" s="8">
        <v>2037.89</v>
      </c>
      <c r="G100" s="8">
        <v>1309.21</v>
      </c>
      <c r="H100" s="33">
        <v>0</v>
      </c>
      <c r="I100" s="8">
        <v>1492.29</v>
      </c>
      <c r="J100" s="8">
        <v>1783.89</v>
      </c>
      <c r="K100" s="8">
        <v>2261.69</v>
      </c>
      <c r="L100" s="8">
        <v>1917.15</v>
      </c>
      <c r="M100" s="10">
        <v>0</v>
      </c>
      <c r="N100" s="8">
        <v>2736.59</v>
      </c>
      <c r="O100" s="8">
        <v>4362.88</v>
      </c>
      <c r="P100" s="10">
        <v>0</v>
      </c>
      <c r="Q100" s="10">
        <v>958.44</v>
      </c>
      <c r="R100" s="8">
        <v>1181.05</v>
      </c>
      <c r="S100" s="8">
        <v>2230.5</v>
      </c>
      <c r="T100" s="42">
        <v>0</v>
      </c>
      <c r="U100" s="10">
        <v>717.63</v>
      </c>
      <c r="V100" s="8">
        <v>4005.83</v>
      </c>
      <c r="W100" s="8">
        <v>5543.33</v>
      </c>
      <c r="X100" s="8">
        <v>8857.36</v>
      </c>
      <c r="Y100" s="8">
        <v>6196.08</v>
      </c>
      <c r="Z100" s="42">
        <v>0</v>
      </c>
      <c r="AA100" s="42">
        <v>0</v>
      </c>
      <c r="AB100" s="33">
        <v>0</v>
      </c>
      <c r="AC100" s="10">
        <v>0</v>
      </c>
      <c r="AD100" s="10">
        <v>932.73</v>
      </c>
      <c r="AE100" s="8">
        <v>1033.18</v>
      </c>
      <c r="AF100" s="8">
        <v>2231.9699999999998</v>
      </c>
      <c r="AG100" s="8">
        <v>1034.5</v>
      </c>
      <c r="AH100" s="33">
        <v>0</v>
      </c>
      <c r="AI100" s="33">
        <v>0</v>
      </c>
      <c r="AJ100" s="42">
        <v>0</v>
      </c>
      <c r="AK100" s="7">
        <v>0</v>
      </c>
      <c r="AL100" s="7">
        <v>0</v>
      </c>
    </row>
    <row r="101" spans="1:39" ht="15">
      <c r="A101" s="16">
        <v>45505</v>
      </c>
      <c r="B101" s="8">
        <v>4630.2299999999996</v>
      </c>
      <c r="C101" s="8">
        <v>1755.29</v>
      </c>
      <c r="D101" s="10">
        <v>0</v>
      </c>
      <c r="E101" s="8">
        <v>2012.87</v>
      </c>
      <c r="F101" s="8">
        <v>1693.72</v>
      </c>
      <c r="G101" s="8">
        <v>1047.3699999999999</v>
      </c>
      <c r="H101" s="33">
        <v>0</v>
      </c>
      <c r="I101" s="8">
        <v>1193.83</v>
      </c>
      <c r="J101" s="8">
        <v>1457.1</v>
      </c>
      <c r="K101" s="8">
        <v>1813.29</v>
      </c>
      <c r="L101" s="8">
        <v>1532.07</v>
      </c>
      <c r="M101" s="10">
        <v>0</v>
      </c>
      <c r="N101" s="8">
        <v>2189.27</v>
      </c>
      <c r="O101" s="8">
        <v>3490.31</v>
      </c>
      <c r="P101" s="10">
        <v>0</v>
      </c>
      <c r="Q101" s="10">
        <v>766.75</v>
      </c>
      <c r="R101" s="10">
        <v>944.84</v>
      </c>
      <c r="S101" s="8">
        <v>1784.4</v>
      </c>
      <c r="T101" s="42">
        <v>0</v>
      </c>
      <c r="U101" s="10">
        <v>574.1</v>
      </c>
      <c r="V101" s="8">
        <v>3204.67</v>
      </c>
      <c r="W101" s="8">
        <v>4434.67</v>
      </c>
      <c r="X101" s="8">
        <v>7085.89</v>
      </c>
      <c r="Y101" s="8">
        <v>4956.8599999999997</v>
      </c>
      <c r="Z101" s="42">
        <v>0</v>
      </c>
      <c r="AA101" s="42">
        <v>0</v>
      </c>
      <c r="AB101" s="33">
        <v>0</v>
      </c>
      <c r="AC101" s="10">
        <v>0</v>
      </c>
      <c r="AD101" s="10">
        <v>746.18</v>
      </c>
      <c r="AE101" s="10">
        <v>826.55</v>
      </c>
      <c r="AF101" s="8">
        <v>1785.57</v>
      </c>
      <c r="AG101" s="10">
        <v>827.6</v>
      </c>
      <c r="AH101" s="33">
        <v>0</v>
      </c>
      <c r="AI101" s="33">
        <v>0</v>
      </c>
      <c r="AJ101" s="42">
        <v>0</v>
      </c>
      <c r="AK101" s="7">
        <v>0</v>
      </c>
      <c r="AL101" s="7">
        <v>0</v>
      </c>
    </row>
    <row r="102" spans="1:39" ht="15">
      <c r="A102" s="16">
        <v>45536</v>
      </c>
      <c r="B102" s="8">
        <v>5787.79</v>
      </c>
      <c r="C102" s="8">
        <v>2194.12</v>
      </c>
      <c r="D102" s="10">
        <v>0</v>
      </c>
      <c r="E102" s="8">
        <v>2516.09</v>
      </c>
      <c r="F102" s="8">
        <v>2117.15</v>
      </c>
      <c r="G102" s="8">
        <v>1309.21</v>
      </c>
      <c r="H102" s="33">
        <v>0</v>
      </c>
      <c r="I102" s="8">
        <v>1492.29</v>
      </c>
      <c r="J102" s="8">
        <v>1821.37</v>
      </c>
      <c r="K102" s="8">
        <v>2266.62</v>
      </c>
      <c r="L102" s="8">
        <v>1915.08</v>
      </c>
      <c r="M102" s="10">
        <v>0</v>
      </c>
      <c r="N102" s="8">
        <v>2736.59</v>
      </c>
      <c r="O102" s="8">
        <v>4362.88</v>
      </c>
      <c r="P102" s="10">
        <v>0</v>
      </c>
      <c r="Q102" s="10">
        <v>958.44</v>
      </c>
      <c r="R102" s="8">
        <v>1181.05</v>
      </c>
      <c r="S102" s="8">
        <v>2230.5</v>
      </c>
      <c r="T102" s="42">
        <v>0</v>
      </c>
      <c r="U102" s="10">
        <v>717.63</v>
      </c>
      <c r="V102" s="8">
        <v>4005.83</v>
      </c>
      <c r="W102" s="8">
        <v>5543.33</v>
      </c>
      <c r="X102" s="8">
        <v>8857.36</v>
      </c>
      <c r="Y102" s="8">
        <v>6196.08</v>
      </c>
      <c r="Z102" s="42">
        <v>0</v>
      </c>
      <c r="AA102" s="42">
        <v>0</v>
      </c>
      <c r="AB102" s="33">
        <v>0</v>
      </c>
      <c r="AC102" s="10">
        <v>0</v>
      </c>
      <c r="AD102" s="10">
        <v>932.73</v>
      </c>
      <c r="AE102" s="8">
        <v>1033.18</v>
      </c>
      <c r="AF102" s="8">
        <v>2231.9699999999998</v>
      </c>
      <c r="AG102" s="8">
        <v>1034.5</v>
      </c>
      <c r="AH102" s="33">
        <v>0</v>
      </c>
      <c r="AI102" s="33">
        <v>0</v>
      </c>
      <c r="AJ102" s="42">
        <v>0</v>
      </c>
      <c r="AK102" s="7">
        <v>0</v>
      </c>
      <c r="AL102" s="7">
        <v>0</v>
      </c>
    </row>
    <row r="103" spans="1:39" ht="15">
      <c r="A103" s="16">
        <v>45566</v>
      </c>
      <c r="B103" s="8">
        <v>4618.4799999999996</v>
      </c>
      <c r="C103" s="8">
        <v>1883.24</v>
      </c>
      <c r="D103" s="10">
        <v>0</v>
      </c>
      <c r="E103" s="8">
        <v>2264.52</v>
      </c>
      <c r="F103" s="8">
        <v>1718.41</v>
      </c>
      <c r="G103" s="8">
        <v>1424.45</v>
      </c>
      <c r="H103" s="33">
        <v>0</v>
      </c>
      <c r="I103" s="8">
        <v>1193.83</v>
      </c>
      <c r="J103" s="8">
        <v>1408.27</v>
      </c>
      <c r="K103" s="8">
        <v>1809.92</v>
      </c>
      <c r="L103" s="8">
        <v>1532.07</v>
      </c>
      <c r="M103" s="10">
        <v>0</v>
      </c>
      <c r="N103" s="8">
        <v>2294.44</v>
      </c>
      <c r="O103" s="8">
        <v>3648.13</v>
      </c>
      <c r="P103" s="10">
        <v>0</v>
      </c>
      <c r="Q103" s="10">
        <v>804.2</v>
      </c>
      <c r="R103" s="10">
        <v>926.59</v>
      </c>
      <c r="S103" s="8">
        <v>1784.4</v>
      </c>
      <c r="T103" s="42">
        <v>0</v>
      </c>
      <c r="U103" s="10">
        <v>682.31</v>
      </c>
      <c r="V103" s="8">
        <v>3344</v>
      </c>
      <c r="W103" s="8">
        <v>4648.51</v>
      </c>
      <c r="X103" s="8">
        <v>7303.86</v>
      </c>
      <c r="Y103" s="8">
        <v>5147.51</v>
      </c>
      <c r="Z103" s="42">
        <v>0</v>
      </c>
      <c r="AA103" s="42">
        <v>0</v>
      </c>
      <c r="AB103" s="33">
        <v>0</v>
      </c>
      <c r="AC103" s="10">
        <v>0</v>
      </c>
      <c r="AD103" s="10">
        <v>975.77</v>
      </c>
      <c r="AE103" s="10">
        <v>826.55</v>
      </c>
      <c r="AF103" s="8">
        <v>2550.8200000000002</v>
      </c>
      <c r="AG103" s="10">
        <v>827.6</v>
      </c>
      <c r="AH103" s="10">
        <v>382.87</v>
      </c>
      <c r="AI103" s="33">
        <v>0</v>
      </c>
      <c r="AJ103" s="42">
        <v>0</v>
      </c>
      <c r="AK103" s="7">
        <v>0</v>
      </c>
      <c r="AL103" s="7">
        <v>0</v>
      </c>
    </row>
    <row r="104" spans="1:39" ht="15">
      <c r="A104" s="16">
        <v>45597</v>
      </c>
      <c r="B104" s="8">
        <v>4618.51</v>
      </c>
      <c r="C104" s="8">
        <v>1883.24</v>
      </c>
      <c r="D104" s="10">
        <v>0</v>
      </c>
      <c r="E104" s="8">
        <v>2264.4899999999998</v>
      </c>
      <c r="F104" s="8">
        <v>1718.41</v>
      </c>
      <c r="G104" s="8">
        <v>1424.45</v>
      </c>
      <c r="H104" s="33">
        <v>0</v>
      </c>
      <c r="I104" s="8">
        <v>1193.8900000000001</v>
      </c>
      <c r="J104" s="8">
        <v>1408.27</v>
      </c>
      <c r="K104" s="8">
        <v>1809.92</v>
      </c>
      <c r="L104" s="8">
        <v>1532.07</v>
      </c>
      <c r="M104" s="10">
        <v>0</v>
      </c>
      <c r="N104" s="8">
        <v>2294.44</v>
      </c>
      <c r="O104" s="8">
        <v>3649.13</v>
      </c>
      <c r="P104" s="10">
        <v>0</v>
      </c>
      <c r="Q104" s="10">
        <v>804.2</v>
      </c>
      <c r="R104" s="10">
        <v>926.59</v>
      </c>
      <c r="S104" s="8">
        <v>1735.8</v>
      </c>
      <c r="T104" s="42">
        <v>0</v>
      </c>
      <c r="U104" s="10">
        <v>682.31</v>
      </c>
      <c r="V104" s="8">
        <v>3344</v>
      </c>
      <c r="W104" s="8">
        <v>4648.51</v>
      </c>
      <c r="X104" s="8">
        <v>7303.86</v>
      </c>
      <c r="Y104" s="8">
        <v>5147.51</v>
      </c>
      <c r="Z104" s="42">
        <v>0</v>
      </c>
      <c r="AA104" s="42">
        <v>0</v>
      </c>
      <c r="AB104" s="33">
        <v>0</v>
      </c>
      <c r="AC104" s="10">
        <v>0</v>
      </c>
      <c r="AD104" s="10">
        <v>975.77</v>
      </c>
      <c r="AE104" s="10">
        <v>826.55</v>
      </c>
      <c r="AF104" s="8">
        <v>2550.8200000000002</v>
      </c>
      <c r="AG104" s="10">
        <v>827.6</v>
      </c>
      <c r="AH104" s="33">
        <v>0</v>
      </c>
      <c r="AI104" s="33">
        <v>0</v>
      </c>
      <c r="AJ104" s="42">
        <v>0</v>
      </c>
      <c r="AK104" s="7">
        <v>0</v>
      </c>
      <c r="AL104" s="7">
        <v>0</v>
      </c>
    </row>
    <row r="105" spans="1:39" ht="15">
      <c r="A105" s="16">
        <v>45627</v>
      </c>
      <c r="B105" s="8">
        <v>5773.11</v>
      </c>
      <c r="C105" s="8">
        <v>2354.0500000000002</v>
      </c>
      <c r="D105" s="10">
        <v>0</v>
      </c>
      <c r="E105" s="8">
        <v>2830.6</v>
      </c>
      <c r="F105" s="8">
        <v>2147.9899999999998</v>
      </c>
      <c r="G105" s="8">
        <v>1780.56</v>
      </c>
      <c r="H105" s="33">
        <v>0</v>
      </c>
      <c r="I105" s="8">
        <v>1492.39</v>
      </c>
      <c r="J105" s="8">
        <v>1760.34</v>
      </c>
      <c r="K105" s="8">
        <v>2262.4</v>
      </c>
      <c r="L105" s="8">
        <v>1915.08</v>
      </c>
      <c r="M105" s="10">
        <v>0</v>
      </c>
      <c r="N105" s="8">
        <v>2868.05</v>
      </c>
      <c r="O105" s="8">
        <v>4561.82</v>
      </c>
      <c r="P105" s="10">
        <v>0</v>
      </c>
      <c r="Q105" s="8">
        <v>1005.25</v>
      </c>
      <c r="R105" s="8">
        <v>1158.24</v>
      </c>
      <c r="S105" s="8">
        <v>2149.5</v>
      </c>
      <c r="T105" s="42">
        <v>0</v>
      </c>
      <c r="U105" s="10">
        <v>852.88</v>
      </c>
      <c r="V105" s="8">
        <v>4180</v>
      </c>
      <c r="W105" s="8">
        <v>5810.63</v>
      </c>
      <c r="X105" s="8">
        <v>9129.83</v>
      </c>
      <c r="Y105" s="8">
        <v>6434.39</v>
      </c>
      <c r="Z105" s="42">
        <v>0</v>
      </c>
      <c r="AA105" s="42">
        <v>0</v>
      </c>
      <c r="AB105" s="33">
        <v>0</v>
      </c>
      <c r="AC105" s="10">
        <v>0</v>
      </c>
      <c r="AD105" s="8">
        <v>1219.72</v>
      </c>
      <c r="AE105" s="8">
        <v>1033.18</v>
      </c>
      <c r="AF105" s="8">
        <v>3188.52</v>
      </c>
      <c r="AG105" s="8">
        <v>1034.5</v>
      </c>
      <c r="AH105" s="33">
        <v>0</v>
      </c>
      <c r="AI105" s="33">
        <v>0</v>
      </c>
      <c r="AJ105" s="42">
        <v>0</v>
      </c>
      <c r="AK105" s="7">
        <v>0</v>
      </c>
      <c r="AL105" s="7">
        <v>0</v>
      </c>
    </row>
    <row r="106" spans="1:39">
      <c r="K106" s="6"/>
      <c r="Z106" s="7"/>
      <c r="AA106" s="7"/>
      <c r="AB106" s="7"/>
      <c r="AC106" s="7"/>
      <c r="AG106" s="7"/>
      <c r="AH106" s="7"/>
      <c r="AI106" s="7"/>
      <c r="AJ106" s="7"/>
      <c r="AK106" s="7"/>
      <c r="AL106" s="7"/>
    </row>
    <row r="111" spans="1:39" ht="15">
      <c r="A111" s="63" t="s">
        <v>3</v>
      </c>
      <c r="B111" s="63"/>
      <c r="C111" s="63"/>
      <c r="D111" s="63"/>
      <c r="E111" s="63"/>
    </row>
    <row r="112" spans="1:39" ht="15">
      <c r="A112" s="16">
        <v>44197</v>
      </c>
      <c r="B112" s="6">
        <v>2057.16</v>
      </c>
      <c r="C112" s="6">
        <v>2357.4</v>
      </c>
      <c r="D112" s="6">
        <v>3318.18</v>
      </c>
      <c r="E112" s="33">
        <v>0</v>
      </c>
      <c r="F112" s="6">
        <v>1576.08</v>
      </c>
      <c r="G112" s="6">
        <v>1041.78</v>
      </c>
      <c r="H112" s="33">
        <v>0</v>
      </c>
      <c r="I112" s="6">
        <v>1226.8800000000001</v>
      </c>
      <c r="J112" s="6">
        <v>1072.1400000000001</v>
      </c>
      <c r="K112" s="6">
        <v>1918.5</v>
      </c>
      <c r="L112" s="6">
        <v>1864.68</v>
      </c>
      <c r="M112" s="33">
        <v>0</v>
      </c>
      <c r="N112" s="6">
        <v>2394.6</v>
      </c>
      <c r="O112" s="6">
        <v>2495.58</v>
      </c>
      <c r="P112" s="6">
        <v>1634.22</v>
      </c>
      <c r="Q112" s="6">
        <v>1024.5</v>
      </c>
      <c r="R112" s="6">
        <v>1228.68</v>
      </c>
      <c r="S112" s="6">
        <v>1830.18</v>
      </c>
      <c r="T112" s="42">
        <v>0</v>
      </c>
      <c r="U112" s="7">
        <v>699.9</v>
      </c>
      <c r="V112" s="6">
        <v>2239.5</v>
      </c>
      <c r="W112" s="6">
        <v>5466.06</v>
      </c>
      <c r="X112" s="6">
        <v>7124.34</v>
      </c>
      <c r="Y112" s="6">
        <v>6465.3</v>
      </c>
      <c r="Z112" s="6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705.72</v>
      </c>
      <c r="AF112" s="33">
        <v>0</v>
      </c>
      <c r="AG112" s="7">
        <v>0</v>
      </c>
      <c r="AH112" s="33">
        <v>0</v>
      </c>
      <c r="AI112" s="33">
        <v>0</v>
      </c>
      <c r="AJ112" s="42">
        <v>0</v>
      </c>
      <c r="AK112" s="42">
        <v>0</v>
      </c>
      <c r="AL112" s="7">
        <v>0</v>
      </c>
      <c r="AM112" s="7"/>
    </row>
    <row r="113" spans="1:39" ht="15">
      <c r="A113" s="16">
        <v>44228</v>
      </c>
      <c r="B113" s="6">
        <v>1371.44</v>
      </c>
      <c r="C113" s="6">
        <v>1571.6</v>
      </c>
      <c r="D113" s="6">
        <v>2212.12</v>
      </c>
      <c r="E113" s="33">
        <v>0</v>
      </c>
      <c r="F113" s="6">
        <v>1050.72</v>
      </c>
      <c r="G113" s="7">
        <v>694.52</v>
      </c>
      <c r="H113" s="33">
        <v>0</v>
      </c>
      <c r="I113" s="7">
        <v>817.92</v>
      </c>
      <c r="J113" s="7">
        <v>714.76</v>
      </c>
      <c r="K113" s="6">
        <v>1279</v>
      </c>
      <c r="L113" s="6">
        <v>1243.1199999999999</v>
      </c>
      <c r="M113" s="33">
        <v>0</v>
      </c>
      <c r="N113" s="6">
        <v>1596.4</v>
      </c>
      <c r="O113" s="6">
        <v>1663.72</v>
      </c>
      <c r="P113" s="6">
        <v>1089.48</v>
      </c>
      <c r="Q113" s="7">
        <v>683</v>
      </c>
      <c r="R113" s="7">
        <v>819.12</v>
      </c>
      <c r="S113" s="6">
        <v>1220.1199999999999</v>
      </c>
      <c r="T113" s="42">
        <v>0</v>
      </c>
      <c r="U113" s="7">
        <v>466.6</v>
      </c>
      <c r="V113" s="6">
        <v>1493</v>
      </c>
      <c r="W113" s="6">
        <v>3644.04</v>
      </c>
      <c r="X113" s="6">
        <v>4749.5600000000004</v>
      </c>
      <c r="Y113" s="6">
        <v>4310.2</v>
      </c>
      <c r="Z113" s="6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470.48</v>
      </c>
      <c r="AF113" s="33">
        <v>0</v>
      </c>
      <c r="AG113" s="7">
        <v>0</v>
      </c>
      <c r="AH113" s="33">
        <v>0</v>
      </c>
      <c r="AI113" s="33">
        <v>0</v>
      </c>
      <c r="AJ113" s="42">
        <v>0</v>
      </c>
      <c r="AK113" s="42">
        <v>0</v>
      </c>
      <c r="AL113" s="7">
        <v>0</v>
      </c>
      <c r="AM113" s="7"/>
    </row>
    <row r="114" spans="1:39" ht="15">
      <c r="A114" s="16">
        <v>44256</v>
      </c>
      <c r="B114" s="6">
        <v>1371.44</v>
      </c>
      <c r="C114" s="6">
        <v>1571.6</v>
      </c>
      <c r="D114" s="6">
        <v>2212.12</v>
      </c>
      <c r="E114" s="33">
        <v>0</v>
      </c>
      <c r="F114" s="6">
        <v>1050.72</v>
      </c>
      <c r="G114" s="7">
        <v>694.52</v>
      </c>
      <c r="H114" s="33">
        <v>0</v>
      </c>
      <c r="I114" s="7">
        <v>817.92</v>
      </c>
      <c r="J114" s="7">
        <v>714.76</v>
      </c>
      <c r="K114" s="6">
        <v>1279</v>
      </c>
      <c r="L114" s="6">
        <v>1243.1199999999999</v>
      </c>
      <c r="M114" s="33">
        <v>0</v>
      </c>
      <c r="N114" s="6">
        <v>1596.4</v>
      </c>
      <c r="O114" s="6">
        <v>1663.72</v>
      </c>
      <c r="P114" s="6">
        <v>1089.48</v>
      </c>
      <c r="Q114" s="7">
        <v>683</v>
      </c>
      <c r="R114" s="7">
        <v>819.12</v>
      </c>
      <c r="S114" s="6">
        <v>1220.1199999999999</v>
      </c>
      <c r="T114" s="42">
        <v>0</v>
      </c>
      <c r="U114" s="7">
        <v>466.6</v>
      </c>
      <c r="V114" s="6">
        <v>1493</v>
      </c>
      <c r="W114" s="6">
        <v>3644.04</v>
      </c>
      <c r="X114" s="6">
        <v>4749.5600000000004</v>
      </c>
      <c r="Y114" s="6">
        <v>4310.2</v>
      </c>
      <c r="Z114" s="6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470.48</v>
      </c>
      <c r="AF114" s="33">
        <v>0</v>
      </c>
      <c r="AG114" s="7">
        <v>0</v>
      </c>
      <c r="AH114" s="33">
        <v>0</v>
      </c>
      <c r="AI114" s="33">
        <v>0</v>
      </c>
      <c r="AJ114" s="42">
        <v>0</v>
      </c>
      <c r="AK114" s="42">
        <v>0</v>
      </c>
      <c r="AL114" s="7">
        <v>0</v>
      </c>
      <c r="AM114" s="7"/>
    </row>
    <row r="115" spans="1:39" ht="15">
      <c r="A115" s="16">
        <v>44287</v>
      </c>
      <c r="B115" s="6">
        <v>1371.44</v>
      </c>
      <c r="C115" s="6">
        <v>1571.6</v>
      </c>
      <c r="D115" s="6">
        <v>2212.12</v>
      </c>
      <c r="E115" s="6">
        <v>1055.79</v>
      </c>
      <c r="F115" s="6">
        <v>1050.72</v>
      </c>
      <c r="G115" s="7">
        <v>694.52</v>
      </c>
      <c r="H115" s="33">
        <v>0</v>
      </c>
      <c r="I115" s="7">
        <v>817.92</v>
      </c>
      <c r="J115" s="7">
        <v>714.76</v>
      </c>
      <c r="K115" s="6">
        <v>1279</v>
      </c>
      <c r="L115" s="6">
        <v>1243.1199999999999</v>
      </c>
      <c r="M115" s="33">
        <v>0</v>
      </c>
      <c r="N115" s="6">
        <v>1596.4</v>
      </c>
      <c r="O115" s="6">
        <v>2472.58</v>
      </c>
      <c r="P115" s="7">
        <v>272.37</v>
      </c>
      <c r="Q115" s="7">
        <v>683</v>
      </c>
      <c r="R115" s="7">
        <v>819.12</v>
      </c>
      <c r="S115" s="6">
        <v>1494.5</v>
      </c>
      <c r="T115" s="42">
        <v>0</v>
      </c>
      <c r="U115" s="7">
        <v>466.6</v>
      </c>
      <c r="V115" s="6">
        <v>1493</v>
      </c>
      <c r="W115" s="6">
        <v>3642.3</v>
      </c>
      <c r="X115" s="6">
        <v>4741.97</v>
      </c>
      <c r="Y115" s="6">
        <v>4310.2</v>
      </c>
      <c r="Z115" s="6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470.48</v>
      </c>
      <c r="AF115" s="33">
        <v>0</v>
      </c>
      <c r="AG115" s="7">
        <v>0</v>
      </c>
      <c r="AH115" s="33">
        <v>0</v>
      </c>
      <c r="AI115" s="33">
        <v>0</v>
      </c>
      <c r="AJ115" s="42">
        <v>0</v>
      </c>
      <c r="AK115" s="42">
        <v>0</v>
      </c>
      <c r="AL115" s="7">
        <v>0</v>
      </c>
      <c r="AM115" s="7"/>
    </row>
    <row r="116" spans="1:39" ht="15">
      <c r="A116" s="16">
        <v>44317</v>
      </c>
      <c r="B116" s="6">
        <v>2057.16</v>
      </c>
      <c r="C116" s="6">
        <v>2357.4</v>
      </c>
      <c r="D116" s="6">
        <v>3318.18</v>
      </c>
      <c r="E116" s="6">
        <v>2111.58</v>
      </c>
      <c r="F116" s="6">
        <v>1576.08</v>
      </c>
      <c r="G116" s="6">
        <v>1041.78</v>
      </c>
      <c r="H116" s="33">
        <v>0</v>
      </c>
      <c r="I116" s="6">
        <v>1226.8800000000001</v>
      </c>
      <c r="J116" s="6">
        <v>1072.1400000000001</v>
      </c>
      <c r="K116" s="6">
        <v>1918.5</v>
      </c>
      <c r="L116" s="6">
        <v>1864.68</v>
      </c>
      <c r="M116" s="33">
        <v>0</v>
      </c>
      <c r="N116" s="6">
        <v>2394.6</v>
      </c>
      <c r="O116" s="6">
        <v>4113.3</v>
      </c>
      <c r="P116" s="33">
        <v>0</v>
      </c>
      <c r="Q116" s="6">
        <v>1024.5</v>
      </c>
      <c r="R116" s="6">
        <v>1228.68</v>
      </c>
      <c r="S116" s="6">
        <v>2378.94</v>
      </c>
      <c r="T116" s="42">
        <v>0</v>
      </c>
      <c r="U116" s="7">
        <v>699.9</v>
      </c>
      <c r="V116" s="6">
        <v>2239.5</v>
      </c>
      <c r="W116" s="6">
        <v>5462.58</v>
      </c>
      <c r="X116" s="6">
        <v>7109.16</v>
      </c>
      <c r="Y116" s="6">
        <v>6465.3</v>
      </c>
      <c r="Z116" s="6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705.72</v>
      </c>
      <c r="AF116" s="33">
        <v>0</v>
      </c>
      <c r="AG116" s="7">
        <v>0</v>
      </c>
      <c r="AH116" s="33">
        <v>0</v>
      </c>
      <c r="AI116" s="33">
        <v>0</v>
      </c>
      <c r="AJ116" s="42">
        <v>0</v>
      </c>
      <c r="AK116" s="7">
        <v>0</v>
      </c>
      <c r="AL116" s="7">
        <v>0</v>
      </c>
      <c r="AM116" s="7"/>
    </row>
    <row r="117" spans="1:39" ht="15">
      <c r="A117" s="16">
        <v>44348</v>
      </c>
      <c r="B117" s="6">
        <v>1371.44</v>
      </c>
      <c r="C117" s="6">
        <v>1571.6</v>
      </c>
      <c r="D117" s="6">
        <v>2212.12</v>
      </c>
      <c r="E117" s="6">
        <v>1407.72</v>
      </c>
      <c r="F117" s="6">
        <v>1050.72</v>
      </c>
      <c r="G117" s="7">
        <v>694.52</v>
      </c>
      <c r="H117" s="33">
        <v>0</v>
      </c>
      <c r="I117" s="7">
        <v>817.92</v>
      </c>
      <c r="J117" s="7">
        <v>714.76</v>
      </c>
      <c r="K117" s="6">
        <v>1279</v>
      </c>
      <c r="L117" s="6">
        <v>1243.1199999999999</v>
      </c>
      <c r="M117" s="33">
        <v>0</v>
      </c>
      <c r="N117" s="6">
        <v>1596.4</v>
      </c>
      <c r="O117" s="6">
        <v>2742.2</v>
      </c>
      <c r="P117" s="33">
        <v>0</v>
      </c>
      <c r="Q117" s="7">
        <v>683</v>
      </c>
      <c r="R117" s="7">
        <v>819.12</v>
      </c>
      <c r="S117" s="6">
        <v>1585.96</v>
      </c>
      <c r="T117" s="42">
        <v>0</v>
      </c>
      <c r="U117" s="7">
        <v>466.6</v>
      </c>
      <c r="V117" s="6">
        <v>1493</v>
      </c>
      <c r="W117" s="6">
        <v>3641.72</v>
      </c>
      <c r="X117" s="6">
        <v>4739.4399999999996</v>
      </c>
      <c r="Y117" s="6">
        <v>4310.2</v>
      </c>
      <c r="Z117" s="6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470.48</v>
      </c>
      <c r="AF117" s="33">
        <v>0</v>
      </c>
      <c r="AG117" s="7">
        <v>0</v>
      </c>
      <c r="AH117" s="33">
        <v>0</v>
      </c>
      <c r="AI117" s="33">
        <v>0</v>
      </c>
      <c r="AJ117" s="42">
        <v>0</v>
      </c>
      <c r="AK117" s="7">
        <v>0</v>
      </c>
      <c r="AL117" s="7">
        <v>0</v>
      </c>
      <c r="AM117" s="7"/>
    </row>
    <row r="118" spans="1:39" ht="15">
      <c r="A118" s="16">
        <v>44378</v>
      </c>
      <c r="B118" s="6">
        <v>1714.3</v>
      </c>
      <c r="C118" s="6">
        <v>1964.5</v>
      </c>
      <c r="D118" s="6">
        <v>2765.15</v>
      </c>
      <c r="E118" s="6">
        <v>1759.65</v>
      </c>
      <c r="F118" s="6">
        <v>1313.4</v>
      </c>
      <c r="G118" s="7">
        <v>868.15</v>
      </c>
      <c r="H118" s="33">
        <v>0</v>
      </c>
      <c r="I118" s="6">
        <v>1022.4</v>
      </c>
      <c r="J118" s="7">
        <v>893.45</v>
      </c>
      <c r="K118" s="6">
        <v>1598.75</v>
      </c>
      <c r="L118" s="6">
        <v>1553.9</v>
      </c>
      <c r="M118" s="33">
        <v>0</v>
      </c>
      <c r="N118" s="6">
        <v>1995.5</v>
      </c>
      <c r="O118" s="6">
        <v>3427.75</v>
      </c>
      <c r="P118" s="33">
        <v>0</v>
      </c>
      <c r="Q118" s="7">
        <v>853.75</v>
      </c>
      <c r="R118" s="6">
        <v>1023.9</v>
      </c>
      <c r="S118" s="6">
        <v>1982.45</v>
      </c>
      <c r="T118" s="42">
        <v>0</v>
      </c>
      <c r="U118" s="7">
        <v>583.25</v>
      </c>
      <c r="V118" s="6">
        <v>1866.25</v>
      </c>
      <c r="W118" s="6">
        <v>4552.1499999999996</v>
      </c>
      <c r="X118" s="6">
        <v>5924.3</v>
      </c>
      <c r="Y118" s="6">
        <v>5387.75</v>
      </c>
      <c r="Z118" s="6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588.1</v>
      </c>
      <c r="AF118" s="33">
        <v>0</v>
      </c>
      <c r="AG118" s="7">
        <v>0</v>
      </c>
      <c r="AH118" s="33">
        <v>0</v>
      </c>
      <c r="AI118" s="33">
        <v>0</v>
      </c>
      <c r="AJ118" s="42">
        <v>0</v>
      </c>
      <c r="AK118" s="7">
        <v>0</v>
      </c>
      <c r="AL118" s="7">
        <v>0</v>
      </c>
      <c r="AM118" s="7"/>
    </row>
    <row r="119" spans="1:39" ht="15">
      <c r="A119" s="16">
        <v>44409</v>
      </c>
      <c r="B119" s="6">
        <v>1714.3</v>
      </c>
      <c r="C119" s="6">
        <v>1964.5</v>
      </c>
      <c r="D119" s="6">
        <v>2765.15</v>
      </c>
      <c r="E119" s="6">
        <v>1759.65</v>
      </c>
      <c r="F119" s="6">
        <v>1313.4</v>
      </c>
      <c r="G119" s="7">
        <v>868.15</v>
      </c>
      <c r="H119" s="33">
        <v>0</v>
      </c>
      <c r="I119" s="6">
        <v>1022.4</v>
      </c>
      <c r="J119" s="7">
        <v>893.45</v>
      </c>
      <c r="K119" s="6">
        <v>1598.75</v>
      </c>
      <c r="L119" s="6">
        <v>1553.9</v>
      </c>
      <c r="M119" s="33">
        <v>0</v>
      </c>
      <c r="N119" s="6">
        <v>1995.5</v>
      </c>
      <c r="O119" s="6">
        <v>3427.75</v>
      </c>
      <c r="P119" s="33">
        <v>0</v>
      </c>
      <c r="Q119" s="7">
        <v>853.75</v>
      </c>
      <c r="R119" s="6">
        <v>1023.9</v>
      </c>
      <c r="S119" s="6">
        <v>1982.45</v>
      </c>
      <c r="T119" s="42">
        <v>0</v>
      </c>
      <c r="U119" s="7">
        <v>583.25</v>
      </c>
      <c r="V119" s="6">
        <v>1866.25</v>
      </c>
      <c r="W119" s="6">
        <v>4552.1499999999996</v>
      </c>
      <c r="X119" s="6">
        <v>5924.3</v>
      </c>
      <c r="Y119" s="6">
        <v>5387.75</v>
      </c>
      <c r="Z119" s="6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588.1</v>
      </c>
      <c r="AF119" s="33">
        <v>0</v>
      </c>
      <c r="AG119" s="7">
        <v>0</v>
      </c>
      <c r="AH119" s="33">
        <v>0</v>
      </c>
      <c r="AI119" s="33">
        <v>0</v>
      </c>
      <c r="AJ119" s="42">
        <v>0</v>
      </c>
      <c r="AK119" s="7">
        <v>0</v>
      </c>
      <c r="AL119" s="7">
        <v>0</v>
      </c>
      <c r="AM119" s="7"/>
    </row>
    <row r="120" spans="1:39" ht="15">
      <c r="A120" s="16">
        <v>44440</v>
      </c>
      <c r="B120" s="6">
        <v>1714.3</v>
      </c>
      <c r="C120" s="6">
        <v>1964.5</v>
      </c>
      <c r="D120" s="6">
        <v>2765.15</v>
      </c>
      <c r="E120" s="6">
        <v>1759.65</v>
      </c>
      <c r="F120" s="6">
        <v>1313.4</v>
      </c>
      <c r="G120" s="7">
        <v>868.15</v>
      </c>
      <c r="H120" s="33">
        <v>0</v>
      </c>
      <c r="I120" s="6">
        <v>1022.4</v>
      </c>
      <c r="J120" s="7">
        <v>893.45</v>
      </c>
      <c r="K120" s="6">
        <v>1598.75</v>
      </c>
      <c r="L120" s="6">
        <v>1553.9</v>
      </c>
      <c r="M120" s="33">
        <v>0</v>
      </c>
      <c r="N120" s="6">
        <v>1995.5</v>
      </c>
      <c r="O120" s="6">
        <v>3427.75</v>
      </c>
      <c r="P120" s="33">
        <v>0</v>
      </c>
      <c r="Q120" s="7">
        <v>853.75</v>
      </c>
      <c r="R120" s="6">
        <v>1023.9</v>
      </c>
      <c r="S120" s="6">
        <v>1982.45</v>
      </c>
      <c r="T120" s="42">
        <v>0</v>
      </c>
      <c r="U120" s="7">
        <v>583.25</v>
      </c>
      <c r="V120" s="6">
        <v>1866.25</v>
      </c>
      <c r="W120" s="6">
        <v>4552.1499999999996</v>
      </c>
      <c r="X120" s="6">
        <v>5924.3</v>
      </c>
      <c r="Y120" s="6">
        <v>5387.75</v>
      </c>
      <c r="Z120" s="6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588.1</v>
      </c>
      <c r="AF120" s="33">
        <v>0</v>
      </c>
      <c r="AG120" s="7">
        <v>0</v>
      </c>
      <c r="AH120" s="33">
        <v>0</v>
      </c>
      <c r="AI120" s="33">
        <v>0</v>
      </c>
      <c r="AJ120" s="42">
        <v>0</v>
      </c>
      <c r="AK120" s="7">
        <v>0</v>
      </c>
      <c r="AL120" s="7">
        <v>0</v>
      </c>
      <c r="AM120" s="7"/>
    </row>
    <row r="121" spans="1:39" ht="15">
      <c r="A121" s="16">
        <v>44470</v>
      </c>
      <c r="B121" s="6">
        <v>1819.5</v>
      </c>
      <c r="C121" s="6">
        <v>2128.9499999999998</v>
      </c>
      <c r="D121" s="6">
        <v>3191.05</v>
      </c>
      <c r="E121" s="6">
        <v>1809.85</v>
      </c>
      <c r="F121" s="6">
        <v>1400.65</v>
      </c>
      <c r="G121" s="7">
        <v>976.65</v>
      </c>
      <c r="H121" s="33">
        <v>0</v>
      </c>
      <c r="I121" s="6">
        <v>1424.45</v>
      </c>
      <c r="J121" s="6">
        <v>1005.1</v>
      </c>
      <c r="K121" s="6">
        <v>1686.2</v>
      </c>
      <c r="L121" s="6">
        <v>1756.55</v>
      </c>
      <c r="M121" s="33">
        <v>0</v>
      </c>
      <c r="N121" s="6">
        <v>2109.3000000000002</v>
      </c>
      <c r="O121" s="6">
        <v>3918.6</v>
      </c>
      <c r="P121" s="33">
        <v>0</v>
      </c>
      <c r="Q121" s="7">
        <v>960.5</v>
      </c>
      <c r="R121" s="6">
        <v>1089.95</v>
      </c>
      <c r="S121" s="6">
        <v>1982.45</v>
      </c>
      <c r="T121" s="42">
        <v>0</v>
      </c>
      <c r="U121" s="7">
        <v>672.9</v>
      </c>
      <c r="V121" s="6">
        <v>2003</v>
      </c>
      <c r="W121" s="6">
        <v>5050.55</v>
      </c>
      <c r="X121" s="6">
        <v>6404.4</v>
      </c>
      <c r="Y121" s="6">
        <v>5627.2</v>
      </c>
      <c r="Z121" s="43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588.1</v>
      </c>
      <c r="AF121" s="33">
        <v>0</v>
      </c>
      <c r="AG121" s="7">
        <v>0</v>
      </c>
      <c r="AH121" s="33">
        <v>0</v>
      </c>
      <c r="AI121" s="33">
        <v>0</v>
      </c>
      <c r="AJ121" s="42">
        <v>0</v>
      </c>
      <c r="AK121" s="7">
        <v>0</v>
      </c>
      <c r="AL121" s="7">
        <v>0</v>
      </c>
      <c r="AM121" s="7"/>
    </row>
    <row r="122" spans="1:39" ht="15">
      <c r="A122" s="16">
        <v>44501</v>
      </c>
      <c r="B122" s="6">
        <v>1819.5</v>
      </c>
      <c r="C122" s="6">
        <v>2128.9499999999998</v>
      </c>
      <c r="D122" s="6">
        <v>3191.05</v>
      </c>
      <c r="E122" s="6">
        <v>1809.85</v>
      </c>
      <c r="F122" s="6">
        <v>1400.65</v>
      </c>
      <c r="G122" s="7">
        <v>976.65</v>
      </c>
      <c r="H122" s="33">
        <v>0</v>
      </c>
      <c r="I122" s="6">
        <v>1424.45</v>
      </c>
      <c r="J122" s="6">
        <v>1005.1</v>
      </c>
      <c r="K122" s="6">
        <v>1686.2</v>
      </c>
      <c r="L122" s="6">
        <v>1756.55</v>
      </c>
      <c r="M122" s="33">
        <v>0</v>
      </c>
      <c r="N122" s="6">
        <v>2109.3000000000002</v>
      </c>
      <c r="O122" s="6">
        <v>3918.6</v>
      </c>
      <c r="P122" s="33">
        <v>0</v>
      </c>
      <c r="Q122" s="7">
        <v>960.5</v>
      </c>
      <c r="R122" s="6">
        <v>1089.95</v>
      </c>
      <c r="S122" s="6">
        <v>1982.45</v>
      </c>
      <c r="T122" s="42">
        <v>0</v>
      </c>
      <c r="U122" s="7">
        <v>672.9</v>
      </c>
      <c r="V122" s="6">
        <v>2003</v>
      </c>
      <c r="W122" s="6">
        <v>5050.55</v>
      </c>
      <c r="X122" s="6">
        <v>6404.4</v>
      </c>
      <c r="Y122" s="6">
        <v>5627.2</v>
      </c>
      <c r="Z122" s="43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588.1</v>
      </c>
      <c r="AF122" s="33">
        <v>0</v>
      </c>
      <c r="AG122" s="7">
        <v>0</v>
      </c>
      <c r="AH122" s="33">
        <v>0</v>
      </c>
      <c r="AI122" s="33">
        <v>0</v>
      </c>
      <c r="AJ122" s="42">
        <v>0</v>
      </c>
      <c r="AK122" s="7">
        <v>0</v>
      </c>
      <c r="AL122" s="7">
        <v>0</v>
      </c>
      <c r="AM122" s="7"/>
    </row>
    <row r="123" spans="1:39" ht="15">
      <c r="A123" s="16">
        <v>44531</v>
      </c>
      <c r="B123" s="6">
        <v>2183.4</v>
      </c>
      <c r="C123" s="6">
        <v>2554.7399999999998</v>
      </c>
      <c r="D123" s="6">
        <v>3829.26</v>
      </c>
      <c r="E123" s="6">
        <v>2171.8200000000002</v>
      </c>
      <c r="F123" s="6">
        <v>1680.78</v>
      </c>
      <c r="G123" s="6">
        <v>1171.98</v>
      </c>
      <c r="H123" s="33">
        <v>0</v>
      </c>
      <c r="I123" s="6">
        <v>1709.34</v>
      </c>
      <c r="J123" s="6">
        <v>1206.1199999999999</v>
      </c>
      <c r="K123" s="6">
        <v>2023.44</v>
      </c>
      <c r="L123" s="6">
        <v>2107.86</v>
      </c>
      <c r="M123" s="33">
        <v>0</v>
      </c>
      <c r="N123" s="6">
        <v>2531.16</v>
      </c>
      <c r="O123" s="6">
        <v>4702.32</v>
      </c>
      <c r="P123" s="33">
        <v>0</v>
      </c>
      <c r="Q123" s="6">
        <v>1152.5999999999999</v>
      </c>
      <c r="R123" s="6">
        <v>1307.94</v>
      </c>
      <c r="S123" s="6">
        <v>2378.94</v>
      </c>
      <c r="T123" s="42">
        <v>0</v>
      </c>
      <c r="U123" s="7">
        <v>807.48</v>
      </c>
      <c r="V123" s="6">
        <v>2403.6</v>
      </c>
      <c r="W123" s="6">
        <v>6060.66</v>
      </c>
      <c r="X123" s="6">
        <v>7685.28</v>
      </c>
      <c r="Y123" s="6">
        <v>6752.64</v>
      </c>
      <c r="Z123" s="43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705.72</v>
      </c>
      <c r="AF123" s="33">
        <v>0</v>
      </c>
      <c r="AG123" s="7">
        <v>0</v>
      </c>
      <c r="AH123" s="33">
        <v>0</v>
      </c>
      <c r="AI123" s="33">
        <v>0</v>
      </c>
      <c r="AJ123" s="42">
        <v>0</v>
      </c>
      <c r="AK123" s="7">
        <v>0</v>
      </c>
      <c r="AL123" s="7">
        <v>0</v>
      </c>
      <c r="AM123" s="7"/>
    </row>
    <row r="124" spans="1:39" ht="15">
      <c r="A124" s="16">
        <v>44562</v>
      </c>
      <c r="B124" s="6">
        <v>1819.5</v>
      </c>
      <c r="C124" s="6">
        <v>2128.9499999999998</v>
      </c>
      <c r="D124" s="6">
        <v>3191.05</v>
      </c>
      <c r="E124" s="6">
        <v>1809.85</v>
      </c>
      <c r="F124" s="6">
        <v>1400.65</v>
      </c>
      <c r="G124" s="7">
        <v>976.65</v>
      </c>
      <c r="H124" s="33">
        <v>0</v>
      </c>
      <c r="I124" s="6">
        <v>1424.45</v>
      </c>
      <c r="J124" s="6">
        <v>1005.1</v>
      </c>
      <c r="K124" s="6">
        <v>1686.2</v>
      </c>
      <c r="L124" s="6">
        <v>1756.55</v>
      </c>
      <c r="M124" s="33">
        <v>0</v>
      </c>
      <c r="N124" s="6">
        <v>2109.3000000000002</v>
      </c>
      <c r="O124" s="6">
        <v>3918.6</v>
      </c>
      <c r="P124" s="33">
        <v>0</v>
      </c>
      <c r="Q124" s="7">
        <v>960.5</v>
      </c>
      <c r="R124" s="6">
        <v>1089.95</v>
      </c>
      <c r="S124" s="6">
        <v>1982.45</v>
      </c>
      <c r="T124" s="42">
        <v>0</v>
      </c>
      <c r="U124" s="7">
        <v>672.9</v>
      </c>
      <c r="V124" s="6">
        <v>2003</v>
      </c>
      <c r="W124" s="6">
        <v>5050.55</v>
      </c>
      <c r="X124" s="6">
        <v>6404.4</v>
      </c>
      <c r="Y124" s="6">
        <v>5627.2</v>
      </c>
      <c r="Z124" s="43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588.1</v>
      </c>
      <c r="AF124" s="33">
        <v>0</v>
      </c>
      <c r="AG124" s="7">
        <v>0</v>
      </c>
      <c r="AH124" s="33">
        <v>0</v>
      </c>
      <c r="AI124" s="33">
        <v>0</v>
      </c>
      <c r="AJ124" s="42">
        <v>0</v>
      </c>
      <c r="AK124" s="7">
        <v>0</v>
      </c>
      <c r="AL124" s="7">
        <v>0</v>
      </c>
      <c r="AM124" s="7"/>
    </row>
    <row r="125" spans="1:39" ht="15">
      <c r="A125" s="16">
        <v>44593</v>
      </c>
      <c r="B125" s="6">
        <v>1455.6</v>
      </c>
      <c r="C125" s="6">
        <v>1703.16</v>
      </c>
      <c r="D125" s="6">
        <v>2552.84</v>
      </c>
      <c r="E125" s="6">
        <v>1447.88</v>
      </c>
      <c r="F125" s="6">
        <v>1120.52</v>
      </c>
      <c r="G125" s="7">
        <v>781.32</v>
      </c>
      <c r="H125" s="33">
        <v>0</v>
      </c>
      <c r="I125" s="6">
        <v>1139.56</v>
      </c>
      <c r="J125" s="7">
        <v>804.08</v>
      </c>
      <c r="K125" s="6">
        <v>1348.96</v>
      </c>
      <c r="L125" s="6">
        <v>1405.24</v>
      </c>
      <c r="M125" s="33">
        <v>0</v>
      </c>
      <c r="N125" s="6">
        <v>1687.44</v>
      </c>
      <c r="O125" s="6">
        <v>3134.88</v>
      </c>
      <c r="P125" s="33">
        <v>0</v>
      </c>
      <c r="Q125" s="7">
        <v>768.4</v>
      </c>
      <c r="R125" s="7">
        <v>871.96</v>
      </c>
      <c r="S125" s="6">
        <v>1585.96</v>
      </c>
      <c r="T125" s="42">
        <v>0</v>
      </c>
      <c r="U125" s="7">
        <v>538.32000000000005</v>
      </c>
      <c r="V125" s="6">
        <v>1602.4</v>
      </c>
      <c r="W125" s="6">
        <v>4040.44</v>
      </c>
      <c r="X125" s="6">
        <v>5123.5200000000004</v>
      </c>
      <c r="Y125" s="6">
        <v>4501.76</v>
      </c>
      <c r="Z125" s="43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470.48</v>
      </c>
      <c r="AF125" s="33">
        <v>0</v>
      </c>
      <c r="AG125" s="7">
        <v>0</v>
      </c>
      <c r="AH125" s="33">
        <v>0</v>
      </c>
      <c r="AI125" s="33">
        <v>0</v>
      </c>
      <c r="AJ125" s="42">
        <v>0</v>
      </c>
      <c r="AK125" s="7">
        <v>0</v>
      </c>
      <c r="AL125" s="7">
        <v>0</v>
      </c>
      <c r="AM125" s="7"/>
    </row>
    <row r="126" spans="1:39" ht="15">
      <c r="A126" s="16">
        <v>44621</v>
      </c>
      <c r="B126" s="6">
        <v>1455.6</v>
      </c>
      <c r="C126" s="6">
        <v>1703.16</v>
      </c>
      <c r="D126" s="6">
        <v>2552.84</v>
      </c>
      <c r="E126" s="6">
        <v>1447.88</v>
      </c>
      <c r="F126" s="6">
        <v>1084.8800000000001</v>
      </c>
      <c r="G126" s="7">
        <v>755.68</v>
      </c>
      <c r="H126" s="33">
        <v>0</v>
      </c>
      <c r="I126" s="6">
        <v>1139.56</v>
      </c>
      <c r="J126" s="7">
        <v>778.44</v>
      </c>
      <c r="K126" s="6">
        <v>1348.96</v>
      </c>
      <c r="L126" s="6">
        <v>1405.24</v>
      </c>
      <c r="M126" s="33">
        <v>0</v>
      </c>
      <c r="N126" s="6">
        <v>1687.44</v>
      </c>
      <c r="O126" s="6">
        <v>3134.88</v>
      </c>
      <c r="P126" s="33">
        <v>0</v>
      </c>
      <c r="Q126" s="7">
        <v>768.4</v>
      </c>
      <c r="R126" s="7">
        <v>871.96</v>
      </c>
      <c r="S126" s="6">
        <v>1585.96</v>
      </c>
      <c r="T126" s="42">
        <v>0</v>
      </c>
      <c r="U126" s="7">
        <v>538.32000000000005</v>
      </c>
      <c r="V126" s="6">
        <v>1602.4</v>
      </c>
      <c r="W126" s="6">
        <v>4040.44</v>
      </c>
      <c r="X126" s="6">
        <v>5123.5200000000004</v>
      </c>
      <c r="Y126" s="6">
        <v>4501.76</v>
      </c>
      <c r="Z126" s="43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470.48</v>
      </c>
      <c r="AF126" s="33">
        <v>0</v>
      </c>
      <c r="AG126" s="7">
        <v>0</v>
      </c>
      <c r="AH126" s="33">
        <v>0</v>
      </c>
      <c r="AI126" s="33">
        <v>0</v>
      </c>
      <c r="AJ126" s="42">
        <v>0</v>
      </c>
      <c r="AK126" s="7">
        <v>0</v>
      </c>
      <c r="AL126" s="7">
        <v>0</v>
      </c>
      <c r="AM126" s="7"/>
    </row>
    <row r="127" spans="1:39" ht="15">
      <c r="A127" s="16">
        <v>44652</v>
      </c>
      <c r="B127" s="6">
        <v>4116.3999999999996</v>
      </c>
      <c r="C127" s="6">
        <v>1680.16</v>
      </c>
      <c r="D127" s="7">
        <v>0</v>
      </c>
      <c r="E127" s="6">
        <v>2012.04</v>
      </c>
      <c r="F127" s="6">
        <v>1475.48</v>
      </c>
      <c r="G127" s="7">
        <v>755.4</v>
      </c>
      <c r="H127" s="33">
        <v>0</v>
      </c>
      <c r="I127" s="6">
        <v>1156.96</v>
      </c>
      <c r="J127" s="7">
        <v>921.92</v>
      </c>
      <c r="K127" s="6">
        <v>1348.96</v>
      </c>
      <c r="L127" s="6">
        <v>1405.24</v>
      </c>
      <c r="M127" s="10">
        <v>0</v>
      </c>
      <c r="N127" s="6">
        <v>1806.4</v>
      </c>
      <c r="O127" s="6">
        <v>3294.64</v>
      </c>
      <c r="P127" s="7">
        <v>0</v>
      </c>
      <c r="Q127" s="7">
        <v>764.84</v>
      </c>
      <c r="R127" s="7">
        <v>871.96</v>
      </c>
      <c r="S127" s="6">
        <v>1585.96</v>
      </c>
      <c r="T127" s="42">
        <v>0</v>
      </c>
      <c r="U127" s="7">
        <v>557.64</v>
      </c>
      <c r="V127" s="6">
        <v>2995.84</v>
      </c>
      <c r="W127" s="6">
        <v>4189.96</v>
      </c>
      <c r="X127" s="6">
        <v>5341.56</v>
      </c>
      <c r="Y127" s="6">
        <v>4693.3599999999997</v>
      </c>
      <c r="Z127" s="43">
        <v>0</v>
      </c>
      <c r="AA127" s="7">
        <v>0</v>
      </c>
      <c r="AB127" s="7">
        <v>0</v>
      </c>
      <c r="AC127" s="7">
        <v>0</v>
      </c>
      <c r="AD127" s="33">
        <v>0</v>
      </c>
      <c r="AE127" s="7">
        <v>821.96</v>
      </c>
      <c r="AF127" s="33">
        <v>0</v>
      </c>
      <c r="AG127" s="33">
        <v>0</v>
      </c>
      <c r="AH127" s="33">
        <v>0</v>
      </c>
      <c r="AI127" s="33">
        <v>0</v>
      </c>
      <c r="AJ127" s="42">
        <v>0</v>
      </c>
      <c r="AK127" s="7">
        <v>0</v>
      </c>
      <c r="AL127" s="7">
        <v>0</v>
      </c>
      <c r="AM127" s="7"/>
    </row>
    <row r="128" spans="1:39" ht="15">
      <c r="A128" s="16">
        <v>44682</v>
      </c>
      <c r="B128" s="8">
        <v>6174.6</v>
      </c>
      <c r="C128" s="8">
        <v>2520.2399999999998</v>
      </c>
      <c r="D128" s="10">
        <v>0</v>
      </c>
      <c r="E128" s="8">
        <v>3018.06</v>
      </c>
      <c r="F128" s="8">
        <v>2213.2199999999998</v>
      </c>
      <c r="G128" s="8">
        <v>1133.0999999999999</v>
      </c>
      <c r="H128" s="33">
        <v>0</v>
      </c>
      <c r="I128" s="8">
        <v>1735.44</v>
      </c>
      <c r="J128" s="8">
        <v>1382.88</v>
      </c>
      <c r="K128" s="8">
        <v>2023.44</v>
      </c>
      <c r="L128" s="8">
        <v>2107.86</v>
      </c>
      <c r="M128" s="10">
        <v>0</v>
      </c>
      <c r="N128" s="8">
        <v>2709.6</v>
      </c>
      <c r="O128" s="8">
        <v>4941.96</v>
      </c>
      <c r="P128" s="10">
        <v>0</v>
      </c>
      <c r="Q128" s="8">
        <v>1147.26</v>
      </c>
      <c r="R128" s="8">
        <v>1307.94</v>
      </c>
      <c r="S128" s="8">
        <v>2378.94</v>
      </c>
      <c r="T128" s="42">
        <v>0</v>
      </c>
      <c r="U128" s="10">
        <v>836.46</v>
      </c>
      <c r="V128" s="8">
        <v>4493.76</v>
      </c>
      <c r="W128" s="8">
        <v>6284.94</v>
      </c>
      <c r="X128" s="8">
        <v>8012.34</v>
      </c>
      <c r="Y128" s="8">
        <v>7040.04</v>
      </c>
      <c r="Z128" s="43">
        <v>0</v>
      </c>
      <c r="AA128" s="10">
        <v>0</v>
      </c>
      <c r="AB128" s="10">
        <v>0</v>
      </c>
      <c r="AC128" s="10">
        <v>0</v>
      </c>
      <c r="AD128" s="33">
        <v>0</v>
      </c>
      <c r="AE128" s="8">
        <v>1232.94</v>
      </c>
      <c r="AF128" s="33">
        <v>0</v>
      </c>
      <c r="AG128" s="33">
        <v>0</v>
      </c>
      <c r="AH128" s="33">
        <v>0</v>
      </c>
      <c r="AI128" s="33">
        <v>0</v>
      </c>
      <c r="AJ128" s="42">
        <v>0</v>
      </c>
      <c r="AK128" s="7">
        <v>0</v>
      </c>
      <c r="AL128" s="7">
        <v>0</v>
      </c>
      <c r="AM128" s="7"/>
    </row>
    <row r="129" spans="1:39" ht="15">
      <c r="A129" s="16">
        <v>44713</v>
      </c>
      <c r="B129" s="8">
        <v>4116.3999999999996</v>
      </c>
      <c r="C129" s="8">
        <v>1680.16</v>
      </c>
      <c r="D129" s="10">
        <v>0</v>
      </c>
      <c r="E129" s="8">
        <v>2012.04</v>
      </c>
      <c r="F129" s="8">
        <v>1475.48</v>
      </c>
      <c r="G129" s="10">
        <v>755.4</v>
      </c>
      <c r="H129" s="33">
        <v>0</v>
      </c>
      <c r="I129" s="8">
        <v>1156.96</v>
      </c>
      <c r="J129" s="10">
        <v>921.92</v>
      </c>
      <c r="K129" s="8">
        <v>1348.96</v>
      </c>
      <c r="L129" s="8">
        <v>1405.24</v>
      </c>
      <c r="M129" s="10">
        <v>0</v>
      </c>
      <c r="N129" s="8">
        <v>1806.4</v>
      </c>
      <c r="O129" s="8">
        <v>3294.64</v>
      </c>
      <c r="P129" s="10">
        <v>0</v>
      </c>
      <c r="Q129" s="10">
        <v>764.84</v>
      </c>
      <c r="R129" s="10">
        <v>871.96</v>
      </c>
      <c r="S129" s="8">
        <v>1585.96</v>
      </c>
      <c r="T129" s="42">
        <v>0</v>
      </c>
      <c r="U129" s="10">
        <v>557.64</v>
      </c>
      <c r="V129" s="8">
        <v>2995.84</v>
      </c>
      <c r="W129" s="8">
        <v>4189.96</v>
      </c>
      <c r="X129" s="8">
        <v>5341.56</v>
      </c>
      <c r="Y129" s="8">
        <v>4693.3599999999997</v>
      </c>
      <c r="Z129" s="43">
        <v>0</v>
      </c>
      <c r="AA129" s="10">
        <v>0</v>
      </c>
      <c r="AB129" s="10">
        <v>0</v>
      </c>
      <c r="AC129" s="10">
        <v>0</v>
      </c>
      <c r="AD129" s="33">
        <v>0</v>
      </c>
      <c r="AE129" s="10">
        <v>821.96</v>
      </c>
      <c r="AF129" s="33">
        <v>0</v>
      </c>
      <c r="AG129" s="33">
        <v>0</v>
      </c>
      <c r="AH129" s="33">
        <v>0</v>
      </c>
      <c r="AI129" s="33">
        <v>0</v>
      </c>
      <c r="AJ129" s="42">
        <v>0</v>
      </c>
      <c r="AK129" s="7">
        <v>0</v>
      </c>
      <c r="AL129" s="7">
        <v>0</v>
      </c>
      <c r="AM129" s="7"/>
    </row>
    <row r="130" spans="1:39" ht="15">
      <c r="A130" s="16">
        <v>44743</v>
      </c>
      <c r="B130" s="8">
        <v>4417.08</v>
      </c>
      <c r="C130" s="8">
        <v>1982.92</v>
      </c>
      <c r="D130" s="10">
        <v>0</v>
      </c>
      <c r="E130" s="8">
        <v>1763.61</v>
      </c>
      <c r="F130" s="8">
        <v>1279.4100000000001</v>
      </c>
      <c r="G130" s="10">
        <v>842.82</v>
      </c>
      <c r="H130" s="33">
        <v>0</v>
      </c>
      <c r="I130" s="8">
        <v>1020.56</v>
      </c>
      <c r="J130" s="10">
        <v>869.74</v>
      </c>
      <c r="K130" s="8">
        <v>1609.64</v>
      </c>
      <c r="L130" s="8">
        <v>1559.01</v>
      </c>
      <c r="M130" s="10">
        <v>0</v>
      </c>
      <c r="N130" s="8">
        <v>1989.76</v>
      </c>
      <c r="O130" s="8">
        <v>3761.49</v>
      </c>
      <c r="P130" s="10">
        <v>0</v>
      </c>
      <c r="Q130" s="10">
        <v>861.17</v>
      </c>
      <c r="R130" s="8">
        <v>1028.82</v>
      </c>
      <c r="S130" s="8">
        <v>1995.99</v>
      </c>
      <c r="T130" s="42">
        <v>0</v>
      </c>
      <c r="U130" s="10">
        <v>583.19000000000005</v>
      </c>
      <c r="V130" s="8">
        <v>1837.61</v>
      </c>
      <c r="W130" s="8">
        <v>4557.87</v>
      </c>
      <c r="X130" s="8">
        <v>5937.19</v>
      </c>
      <c r="Y130" s="8">
        <v>5374.86</v>
      </c>
      <c r="Z130" s="43">
        <v>0</v>
      </c>
      <c r="AA130" s="10">
        <v>0</v>
      </c>
      <c r="AB130" s="10">
        <v>0</v>
      </c>
      <c r="AC130" s="10">
        <v>0</v>
      </c>
      <c r="AD130" s="33">
        <v>0</v>
      </c>
      <c r="AE130" s="10">
        <v>588.15</v>
      </c>
      <c r="AF130" s="33">
        <v>0</v>
      </c>
      <c r="AG130" s="33">
        <v>0</v>
      </c>
      <c r="AH130" s="33">
        <v>0</v>
      </c>
      <c r="AI130" s="33">
        <v>0</v>
      </c>
      <c r="AJ130" s="42">
        <v>0</v>
      </c>
      <c r="AK130" s="7">
        <v>0</v>
      </c>
      <c r="AL130" s="7">
        <v>0</v>
      </c>
    </row>
    <row r="131" spans="1:39" ht="15">
      <c r="A131" s="16">
        <v>44774</v>
      </c>
      <c r="B131" s="8">
        <v>4397.3900000000003</v>
      </c>
      <c r="C131" s="8">
        <v>1974.03</v>
      </c>
      <c r="D131" s="10">
        <v>0</v>
      </c>
      <c r="E131" s="8">
        <v>1763.61</v>
      </c>
      <c r="F131" s="8">
        <v>1274.23</v>
      </c>
      <c r="G131" s="10">
        <v>838.2</v>
      </c>
      <c r="H131" s="33">
        <v>0</v>
      </c>
      <c r="I131" s="8">
        <v>1020.6</v>
      </c>
      <c r="J131" s="10">
        <v>865.06</v>
      </c>
      <c r="K131" s="8">
        <v>1600.73</v>
      </c>
      <c r="L131" s="8">
        <v>1551.02</v>
      </c>
      <c r="M131" s="10">
        <v>0</v>
      </c>
      <c r="N131" s="8">
        <v>1977.38</v>
      </c>
      <c r="O131" s="8">
        <v>3742.31</v>
      </c>
      <c r="P131" s="10">
        <v>0</v>
      </c>
      <c r="Q131" s="10">
        <v>855.35</v>
      </c>
      <c r="R131" s="8">
        <v>1024.97</v>
      </c>
      <c r="S131" s="8">
        <v>1982.67</v>
      </c>
      <c r="T131" s="42">
        <v>0</v>
      </c>
      <c r="U131" s="10">
        <v>583.19000000000005</v>
      </c>
      <c r="V131" s="8">
        <v>1828.75</v>
      </c>
      <c r="W131" s="8">
        <v>4542.76</v>
      </c>
      <c r="X131" s="8">
        <v>5924.49</v>
      </c>
      <c r="Y131" s="8">
        <v>5361.09</v>
      </c>
      <c r="Z131" s="43">
        <v>0</v>
      </c>
      <c r="AA131" s="10">
        <v>0</v>
      </c>
      <c r="AB131" s="10">
        <v>0</v>
      </c>
      <c r="AC131" s="10">
        <v>0</v>
      </c>
      <c r="AD131" s="33">
        <v>0</v>
      </c>
      <c r="AE131" s="10">
        <v>588.15</v>
      </c>
      <c r="AF131" s="33">
        <v>0</v>
      </c>
      <c r="AG131" s="33">
        <v>0</v>
      </c>
      <c r="AH131" s="33">
        <v>0</v>
      </c>
      <c r="AI131" s="33">
        <v>0</v>
      </c>
      <c r="AJ131" s="42">
        <v>0</v>
      </c>
      <c r="AK131" s="7">
        <v>0</v>
      </c>
      <c r="AL131" s="7">
        <v>0</v>
      </c>
    </row>
    <row r="132" spans="1:39" ht="15">
      <c r="A132" s="16">
        <v>44805</v>
      </c>
      <c r="B132" s="8">
        <v>4397.3900000000003</v>
      </c>
      <c r="C132" s="8">
        <v>1974.03</v>
      </c>
      <c r="D132" s="10">
        <v>0</v>
      </c>
      <c r="E132" s="8">
        <v>1763.61</v>
      </c>
      <c r="F132" s="8">
        <v>1274.23</v>
      </c>
      <c r="G132" s="10">
        <v>838.2</v>
      </c>
      <c r="H132" s="33">
        <v>0</v>
      </c>
      <c r="I132" s="8">
        <v>1020.73</v>
      </c>
      <c r="J132" s="10">
        <v>865.06</v>
      </c>
      <c r="K132" s="8">
        <v>1600.68</v>
      </c>
      <c r="L132" s="8">
        <v>1551.02</v>
      </c>
      <c r="M132" s="10">
        <v>0</v>
      </c>
      <c r="N132" s="8">
        <v>1977.38</v>
      </c>
      <c r="O132" s="8">
        <v>3722.09</v>
      </c>
      <c r="P132" s="10">
        <v>0</v>
      </c>
      <c r="Q132" s="10">
        <v>855.35</v>
      </c>
      <c r="R132" s="8">
        <v>1024.97</v>
      </c>
      <c r="S132" s="8">
        <v>1982.67</v>
      </c>
      <c r="T132" s="42">
        <v>0</v>
      </c>
      <c r="U132" s="10">
        <v>583.19000000000005</v>
      </c>
      <c r="V132" s="8">
        <v>1828.75</v>
      </c>
      <c r="W132" s="8">
        <v>4542.76</v>
      </c>
      <c r="X132" s="8">
        <v>5924.49</v>
      </c>
      <c r="Y132" s="8">
        <v>5361.09</v>
      </c>
      <c r="Z132" s="43">
        <v>0</v>
      </c>
      <c r="AA132" s="10">
        <v>0</v>
      </c>
      <c r="AB132" s="10">
        <v>0</v>
      </c>
      <c r="AC132" s="10">
        <v>0</v>
      </c>
      <c r="AD132" s="33">
        <v>0</v>
      </c>
      <c r="AE132" s="10">
        <v>588.15</v>
      </c>
      <c r="AF132" s="33">
        <v>0</v>
      </c>
      <c r="AG132" s="33">
        <v>0</v>
      </c>
      <c r="AH132" s="33">
        <v>0</v>
      </c>
      <c r="AI132" s="33">
        <v>0</v>
      </c>
      <c r="AJ132" s="42">
        <v>0</v>
      </c>
      <c r="AK132" s="7">
        <v>0</v>
      </c>
      <c r="AL132" s="7">
        <v>0</v>
      </c>
    </row>
    <row r="133" spans="1:39" ht="15">
      <c r="A133" s="16">
        <v>44835</v>
      </c>
      <c r="B133" s="8">
        <v>5006.68</v>
      </c>
      <c r="C133" s="8">
        <v>2138.5100000000002</v>
      </c>
      <c r="D133" s="10">
        <v>0</v>
      </c>
      <c r="E133" s="8">
        <v>1811.14</v>
      </c>
      <c r="F133" s="8">
        <v>1357.98</v>
      </c>
      <c r="G133" s="10">
        <v>942.97</v>
      </c>
      <c r="H133" s="33">
        <v>0</v>
      </c>
      <c r="I133" s="8">
        <v>1422.17</v>
      </c>
      <c r="J133" s="10">
        <v>973.19</v>
      </c>
      <c r="K133" s="8">
        <v>1688.85</v>
      </c>
      <c r="L133" s="8">
        <v>1753.33</v>
      </c>
      <c r="M133" s="10">
        <v>0</v>
      </c>
      <c r="N133" s="8">
        <v>2090.41</v>
      </c>
      <c r="O133" s="8">
        <v>3868.43</v>
      </c>
      <c r="P133" s="10">
        <v>0</v>
      </c>
      <c r="Q133" s="10">
        <v>962.27</v>
      </c>
      <c r="R133" s="8">
        <v>1091.0899999999999</v>
      </c>
      <c r="S133" s="8">
        <v>1982.67</v>
      </c>
      <c r="T133" s="42">
        <v>0</v>
      </c>
      <c r="U133" s="10">
        <v>672.86</v>
      </c>
      <c r="V133" s="8">
        <v>2002.92</v>
      </c>
      <c r="W133" s="8">
        <v>5040.62</v>
      </c>
      <c r="X133" s="8">
        <v>6404.68</v>
      </c>
      <c r="Y133" s="8">
        <v>5599.36</v>
      </c>
      <c r="Z133" s="43">
        <v>0</v>
      </c>
      <c r="AA133" s="10">
        <v>0</v>
      </c>
      <c r="AB133" s="10">
        <v>0</v>
      </c>
      <c r="AC133" s="10">
        <v>0</v>
      </c>
      <c r="AD133" s="33">
        <v>0</v>
      </c>
      <c r="AE133" s="10">
        <v>588.15</v>
      </c>
      <c r="AF133" s="33">
        <v>0</v>
      </c>
      <c r="AG133" s="33">
        <v>0</v>
      </c>
      <c r="AH133" s="33">
        <v>0</v>
      </c>
      <c r="AI133" s="33">
        <v>0</v>
      </c>
      <c r="AJ133" s="42">
        <v>0</v>
      </c>
      <c r="AK133" s="7">
        <v>0</v>
      </c>
      <c r="AL133" s="7">
        <v>0</v>
      </c>
    </row>
    <row r="134" spans="1:39" ht="15">
      <c r="A134" s="16">
        <v>44866</v>
      </c>
      <c r="B134" s="8">
        <v>5006.68</v>
      </c>
      <c r="C134" s="8">
        <v>2138.5100000000002</v>
      </c>
      <c r="D134" s="10">
        <v>0</v>
      </c>
      <c r="E134" s="8">
        <v>1811.16</v>
      </c>
      <c r="F134" s="8">
        <v>1357.1</v>
      </c>
      <c r="G134" s="10">
        <v>942.97</v>
      </c>
      <c r="H134" s="33">
        <v>0</v>
      </c>
      <c r="I134" s="8">
        <v>1422.17</v>
      </c>
      <c r="J134" s="10">
        <v>973.19</v>
      </c>
      <c r="K134" s="8">
        <v>1688.88</v>
      </c>
      <c r="L134" s="8">
        <v>1753.31</v>
      </c>
      <c r="M134" s="10">
        <v>0</v>
      </c>
      <c r="N134" s="8">
        <v>2090.39</v>
      </c>
      <c r="O134" s="8">
        <v>3868.43</v>
      </c>
      <c r="P134" s="10">
        <v>0</v>
      </c>
      <c r="Q134" s="10">
        <v>962.27</v>
      </c>
      <c r="R134" s="8">
        <v>1091.0899999999999</v>
      </c>
      <c r="S134" s="8">
        <v>1982.67</v>
      </c>
      <c r="T134" s="42">
        <v>0</v>
      </c>
      <c r="U134" s="10">
        <v>672.86</v>
      </c>
      <c r="V134" s="8">
        <v>2002.92</v>
      </c>
      <c r="W134" s="8">
        <v>5040.7</v>
      </c>
      <c r="X134" s="8">
        <v>6404.76</v>
      </c>
      <c r="Y134" s="8">
        <v>5599.36</v>
      </c>
      <c r="Z134" s="43">
        <v>0</v>
      </c>
      <c r="AA134" s="10">
        <v>0</v>
      </c>
      <c r="AB134" s="10">
        <v>0</v>
      </c>
      <c r="AC134" s="10">
        <v>0</v>
      </c>
      <c r="AD134" s="33">
        <v>0</v>
      </c>
      <c r="AE134" s="10">
        <v>588.15</v>
      </c>
      <c r="AF134" s="33">
        <v>0</v>
      </c>
      <c r="AG134" s="33">
        <v>0</v>
      </c>
      <c r="AH134" s="33">
        <v>0</v>
      </c>
      <c r="AI134" s="33">
        <v>0</v>
      </c>
      <c r="AJ134" s="42">
        <v>0</v>
      </c>
      <c r="AK134" s="7">
        <v>0</v>
      </c>
      <c r="AL134" s="7">
        <v>0</v>
      </c>
    </row>
    <row r="135" spans="1:39" ht="15">
      <c r="A135" s="16">
        <v>44896</v>
      </c>
      <c r="B135" s="8">
        <v>6008.01</v>
      </c>
      <c r="C135" s="8">
        <v>2566.21</v>
      </c>
      <c r="D135" s="10">
        <v>0</v>
      </c>
      <c r="E135" s="8">
        <v>2173.41</v>
      </c>
      <c r="F135" s="8">
        <v>1627.81</v>
      </c>
      <c r="G135" s="8">
        <v>1131.57</v>
      </c>
      <c r="H135" s="33">
        <v>0</v>
      </c>
      <c r="I135" s="8">
        <v>1706.6</v>
      </c>
      <c r="J135" s="8">
        <v>1167.83</v>
      </c>
      <c r="K135" s="8">
        <v>2026.68</v>
      </c>
      <c r="L135" s="8">
        <v>2103.96</v>
      </c>
      <c r="M135" s="10">
        <v>0</v>
      </c>
      <c r="N135" s="8">
        <v>2508.4499999999998</v>
      </c>
      <c r="O135" s="8">
        <v>4642.12</v>
      </c>
      <c r="P135" s="10">
        <v>0</v>
      </c>
      <c r="Q135" s="8">
        <v>1154.72</v>
      </c>
      <c r="R135" s="8">
        <v>1309.31</v>
      </c>
      <c r="S135" s="8">
        <v>2379.1999999999998</v>
      </c>
      <c r="T135" s="42">
        <v>0</v>
      </c>
      <c r="U135" s="10">
        <v>807.43</v>
      </c>
      <c r="V135" s="8">
        <v>2403.5</v>
      </c>
      <c r="W135" s="8">
        <v>6048.9</v>
      </c>
      <c r="X135" s="8">
        <v>7685.78</v>
      </c>
      <c r="Y135" s="8">
        <v>6719.24</v>
      </c>
      <c r="Z135" s="43">
        <v>0</v>
      </c>
      <c r="AA135" s="10">
        <v>0</v>
      </c>
      <c r="AB135" s="10">
        <v>0</v>
      </c>
      <c r="AC135" s="10">
        <v>0</v>
      </c>
      <c r="AD135" s="33">
        <v>0</v>
      </c>
      <c r="AE135" s="10">
        <v>705.77</v>
      </c>
      <c r="AF135" s="33">
        <v>0</v>
      </c>
      <c r="AG135" s="33">
        <v>0</v>
      </c>
      <c r="AH135" s="33">
        <v>0</v>
      </c>
      <c r="AI135" s="33">
        <v>0</v>
      </c>
      <c r="AJ135" s="42">
        <v>0</v>
      </c>
      <c r="AK135" s="7">
        <v>0</v>
      </c>
      <c r="AL135" s="7">
        <v>0</v>
      </c>
    </row>
    <row r="136" spans="1:39" ht="15">
      <c r="A136" s="16">
        <v>44927</v>
      </c>
      <c r="B136" s="8">
        <v>6176.5</v>
      </c>
      <c r="C136" s="8">
        <v>2484.8000000000002</v>
      </c>
      <c r="D136" s="10">
        <v>0</v>
      </c>
      <c r="E136" s="8">
        <v>3019.18</v>
      </c>
      <c r="F136" s="8">
        <v>2216.2199999999998</v>
      </c>
      <c r="G136" s="8">
        <v>1131.1600000000001</v>
      </c>
      <c r="H136" s="33">
        <v>0</v>
      </c>
      <c r="I136" s="8">
        <v>1734.7</v>
      </c>
      <c r="J136" s="8">
        <v>1381.94</v>
      </c>
      <c r="K136" s="8">
        <v>2025.81</v>
      </c>
      <c r="L136" s="8">
        <v>2103.96</v>
      </c>
      <c r="M136" s="10">
        <v>0</v>
      </c>
      <c r="N136" s="8">
        <v>2689.14</v>
      </c>
      <c r="O136" s="8">
        <v>4880.59</v>
      </c>
      <c r="P136" s="10">
        <v>0</v>
      </c>
      <c r="Q136" s="8">
        <v>1155.18</v>
      </c>
      <c r="R136" s="8">
        <v>1331.22</v>
      </c>
      <c r="S136" s="8">
        <v>2379.1999999999998</v>
      </c>
      <c r="T136" s="42">
        <v>0</v>
      </c>
      <c r="U136" s="10">
        <v>836.51</v>
      </c>
      <c r="V136" s="8">
        <v>4493.5</v>
      </c>
      <c r="W136" s="8">
        <v>6278.52</v>
      </c>
      <c r="X136" s="8">
        <v>8012.5</v>
      </c>
      <c r="Y136" s="8">
        <v>7006.33</v>
      </c>
      <c r="Z136" s="43">
        <v>0</v>
      </c>
      <c r="AA136" s="10">
        <v>0</v>
      </c>
      <c r="AB136" s="10">
        <v>0</v>
      </c>
      <c r="AC136" s="10">
        <v>0</v>
      </c>
      <c r="AD136" s="33">
        <v>0</v>
      </c>
      <c r="AE136" s="8">
        <v>1231.81</v>
      </c>
      <c r="AF136" s="33">
        <v>0</v>
      </c>
      <c r="AG136" s="33">
        <v>0</v>
      </c>
      <c r="AH136" s="33">
        <v>0</v>
      </c>
      <c r="AI136" s="33">
        <v>0</v>
      </c>
      <c r="AJ136" s="42">
        <v>0</v>
      </c>
      <c r="AK136" s="7">
        <v>0</v>
      </c>
      <c r="AL136" s="7">
        <v>0</v>
      </c>
    </row>
    <row r="137" spans="1:39" ht="15">
      <c r="A137" s="16">
        <v>44958</v>
      </c>
      <c r="B137" s="8">
        <v>4120.75</v>
      </c>
      <c r="C137" s="8">
        <v>1656.53</v>
      </c>
      <c r="D137" s="10">
        <v>0</v>
      </c>
      <c r="E137" s="8">
        <v>2012.79</v>
      </c>
      <c r="F137" s="8">
        <v>1477.48</v>
      </c>
      <c r="G137" s="10">
        <v>754.1</v>
      </c>
      <c r="H137" s="33">
        <v>0</v>
      </c>
      <c r="I137" s="8">
        <v>1156.6600000000001</v>
      </c>
      <c r="J137" s="10">
        <v>921.8</v>
      </c>
      <c r="K137" s="8">
        <v>1350.54</v>
      </c>
      <c r="L137" s="8">
        <v>1402.64</v>
      </c>
      <c r="M137" s="10">
        <v>0</v>
      </c>
      <c r="N137" s="8">
        <v>1790.32</v>
      </c>
      <c r="O137" s="8">
        <v>3253.72</v>
      </c>
      <c r="P137" s="10">
        <v>0</v>
      </c>
      <c r="Q137" s="10">
        <v>745.55</v>
      </c>
      <c r="R137" s="10">
        <v>887.48</v>
      </c>
      <c r="S137" s="8">
        <v>1586.13</v>
      </c>
      <c r="T137" s="42">
        <v>0</v>
      </c>
      <c r="U137" s="10">
        <v>557.9</v>
      </c>
      <c r="V137" s="8">
        <v>2995.67</v>
      </c>
      <c r="W137" s="8">
        <v>4185.6899999999996</v>
      </c>
      <c r="X137" s="8">
        <v>5341.67</v>
      </c>
      <c r="Y137" s="8">
        <v>4670.8900000000003</v>
      </c>
      <c r="Z137" s="43">
        <v>0</v>
      </c>
      <c r="AA137" s="10">
        <v>0</v>
      </c>
      <c r="AB137" s="10">
        <v>0</v>
      </c>
      <c r="AC137" s="10">
        <v>0</v>
      </c>
      <c r="AD137" s="33">
        <v>0</v>
      </c>
      <c r="AE137" s="10">
        <v>821.16</v>
      </c>
      <c r="AF137" s="33">
        <v>0</v>
      </c>
      <c r="AG137" s="33">
        <v>0</v>
      </c>
      <c r="AH137" s="33">
        <v>0</v>
      </c>
      <c r="AI137" s="33">
        <v>0</v>
      </c>
      <c r="AJ137" s="42">
        <v>0</v>
      </c>
      <c r="AK137" s="7">
        <v>0</v>
      </c>
      <c r="AL137" s="7">
        <v>0</v>
      </c>
    </row>
    <row r="138" spans="1:39" ht="15">
      <c r="A138" s="16">
        <v>44986</v>
      </c>
      <c r="B138" s="8">
        <v>4120.75</v>
      </c>
      <c r="C138" s="8">
        <v>1656.53</v>
      </c>
      <c r="D138" s="10">
        <v>0</v>
      </c>
      <c r="E138" s="8">
        <v>2012.79</v>
      </c>
      <c r="F138" s="8">
        <v>1477.48</v>
      </c>
      <c r="G138" s="10">
        <v>754.1</v>
      </c>
      <c r="H138" s="33">
        <v>0</v>
      </c>
      <c r="I138" s="8">
        <v>1156.6600000000001</v>
      </c>
      <c r="J138" s="10">
        <v>921.8</v>
      </c>
      <c r="K138" s="8">
        <v>1350.54</v>
      </c>
      <c r="L138" s="8">
        <v>1402.64</v>
      </c>
      <c r="M138" s="10">
        <v>0</v>
      </c>
      <c r="N138" s="8">
        <v>1790.32</v>
      </c>
      <c r="O138" s="8">
        <v>3253.72</v>
      </c>
      <c r="P138" s="10">
        <v>0</v>
      </c>
      <c r="Q138" s="10">
        <v>745.55</v>
      </c>
      <c r="R138" s="10">
        <v>887.48</v>
      </c>
      <c r="S138" s="8">
        <v>1586.13</v>
      </c>
      <c r="T138" s="42">
        <v>0</v>
      </c>
      <c r="U138" s="10">
        <v>557.9</v>
      </c>
      <c r="V138" s="8">
        <v>2995.67</v>
      </c>
      <c r="W138" s="8">
        <v>4185.6899999999996</v>
      </c>
      <c r="X138" s="8">
        <v>5341.67</v>
      </c>
      <c r="Y138" s="8">
        <v>4670.8900000000003</v>
      </c>
      <c r="Z138" s="43">
        <v>0</v>
      </c>
      <c r="AA138" s="10">
        <v>0</v>
      </c>
      <c r="AB138" s="10">
        <v>0</v>
      </c>
      <c r="AC138" s="10">
        <v>0</v>
      </c>
      <c r="AD138" s="33">
        <v>0</v>
      </c>
      <c r="AE138" s="10">
        <v>821.16</v>
      </c>
      <c r="AF138" s="33">
        <v>0</v>
      </c>
      <c r="AG138" s="33">
        <v>0</v>
      </c>
      <c r="AH138" s="33">
        <v>0</v>
      </c>
      <c r="AI138" s="33">
        <v>0</v>
      </c>
      <c r="AJ138" s="42">
        <v>0</v>
      </c>
      <c r="AK138" s="7">
        <v>0</v>
      </c>
      <c r="AL138" s="7">
        <v>0</v>
      </c>
    </row>
    <row r="139" spans="1:39" ht="15">
      <c r="A139" s="16">
        <v>45017</v>
      </c>
      <c r="B139" s="8">
        <v>5154.5600000000004</v>
      </c>
      <c r="C139" s="8">
        <v>2070.67</v>
      </c>
      <c r="D139" s="10">
        <v>0</v>
      </c>
      <c r="E139" s="8">
        <v>2516.0300000000002</v>
      </c>
      <c r="F139" s="8">
        <v>1846.98</v>
      </c>
      <c r="G139" s="10">
        <v>942.63</v>
      </c>
      <c r="H139" s="33">
        <v>0</v>
      </c>
      <c r="I139" s="8">
        <v>1445.83</v>
      </c>
      <c r="J139" s="8">
        <v>1151.25</v>
      </c>
      <c r="K139" s="8">
        <v>2213.0100000000002</v>
      </c>
      <c r="L139" s="8">
        <v>1847.48</v>
      </c>
      <c r="M139" s="10">
        <v>0</v>
      </c>
      <c r="N139" s="8">
        <v>2237.9</v>
      </c>
      <c r="O139" s="8">
        <v>4067.16</v>
      </c>
      <c r="P139" s="10">
        <v>0</v>
      </c>
      <c r="Q139" s="10">
        <v>931.94</v>
      </c>
      <c r="R139" s="8">
        <v>1109.32</v>
      </c>
      <c r="S139" s="8">
        <v>1982.67</v>
      </c>
      <c r="T139" s="42">
        <v>0</v>
      </c>
      <c r="U139" s="10">
        <v>698.68</v>
      </c>
      <c r="V139" s="8">
        <v>3744.58</v>
      </c>
      <c r="W139" s="8">
        <v>5232.12</v>
      </c>
      <c r="X139" s="8">
        <v>6677.09</v>
      </c>
      <c r="Y139" s="8">
        <v>5838.61</v>
      </c>
      <c r="Z139" s="43">
        <v>0</v>
      </c>
      <c r="AA139" s="10">
        <v>0</v>
      </c>
      <c r="AB139" s="10">
        <v>0</v>
      </c>
      <c r="AC139" s="10">
        <v>0</v>
      </c>
      <c r="AD139" s="33">
        <v>0</v>
      </c>
      <c r="AE139" s="8">
        <v>1026.3699999999999</v>
      </c>
      <c r="AF139" s="33">
        <v>0</v>
      </c>
      <c r="AG139" s="33">
        <v>0</v>
      </c>
      <c r="AH139" s="33">
        <v>0</v>
      </c>
      <c r="AI139" s="33">
        <v>0</v>
      </c>
      <c r="AJ139" s="42">
        <v>0</v>
      </c>
      <c r="AK139" s="7">
        <v>0</v>
      </c>
      <c r="AL139" s="7">
        <v>0</v>
      </c>
    </row>
    <row r="140" spans="1:39" ht="15">
      <c r="A140" s="16">
        <v>45047</v>
      </c>
      <c r="B140" s="8">
        <v>5154.5600000000004</v>
      </c>
      <c r="C140" s="8">
        <v>2070.67</v>
      </c>
      <c r="D140" s="10">
        <v>0</v>
      </c>
      <c r="E140" s="8">
        <v>2516.0300000000002</v>
      </c>
      <c r="F140" s="8">
        <v>1846.98</v>
      </c>
      <c r="G140" s="10">
        <v>942.63</v>
      </c>
      <c r="H140" s="33">
        <v>0</v>
      </c>
      <c r="I140" s="8">
        <v>1445.83</v>
      </c>
      <c r="J140" s="8">
        <v>1151.25</v>
      </c>
      <c r="K140" s="8">
        <v>2213.0100000000002</v>
      </c>
      <c r="L140" s="8">
        <v>1847.48</v>
      </c>
      <c r="M140" s="10">
        <v>0</v>
      </c>
      <c r="N140" s="8">
        <v>2237.9</v>
      </c>
      <c r="O140" s="8">
        <v>4067.16</v>
      </c>
      <c r="P140" s="10">
        <v>0</v>
      </c>
      <c r="Q140" s="10">
        <v>931.94</v>
      </c>
      <c r="R140" s="8">
        <v>1109.32</v>
      </c>
      <c r="S140" s="8">
        <v>1982.67</v>
      </c>
      <c r="T140" s="42">
        <v>0</v>
      </c>
      <c r="U140" s="10">
        <v>698.68</v>
      </c>
      <c r="V140" s="8">
        <v>3744.58</v>
      </c>
      <c r="W140" s="8">
        <v>5232.12</v>
      </c>
      <c r="X140" s="8">
        <v>6677.09</v>
      </c>
      <c r="Y140" s="8">
        <v>5838.61</v>
      </c>
      <c r="Z140" s="43">
        <v>0</v>
      </c>
      <c r="AA140" s="10">
        <v>0</v>
      </c>
      <c r="AB140" s="10">
        <v>0</v>
      </c>
      <c r="AC140" s="10">
        <v>0</v>
      </c>
      <c r="AD140" s="33">
        <v>0</v>
      </c>
      <c r="AE140" s="8">
        <v>1026.3699999999999</v>
      </c>
      <c r="AF140" s="33">
        <v>0</v>
      </c>
      <c r="AG140" s="33">
        <v>0</v>
      </c>
      <c r="AH140" s="33">
        <v>0</v>
      </c>
      <c r="AI140" s="33">
        <v>0</v>
      </c>
      <c r="AJ140" s="42">
        <v>0</v>
      </c>
      <c r="AK140" s="7">
        <v>0</v>
      </c>
      <c r="AL140" s="7">
        <v>0</v>
      </c>
    </row>
    <row r="141" spans="1:39" ht="15">
      <c r="A141" s="16">
        <v>45078</v>
      </c>
      <c r="B141" s="8">
        <v>4123.6499999999996</v>
      </c>
      <c r="C141" s="8">
        <v>1656.53</v>
      </c>
      <c r="D141" s="10">
        <v>0</v>
      </c>
      <c r="E141" s="8">
        <v>2012.82</v>
      </c>
      <c r="F141" s="8">
        <v>1477.58</v>
      </c>
      <c r="G141" s="10">
        <v>754.1</v>
      </c>
      <c r="H141" s="33">
        <v>0</v>
      </c>
      <c r="I141" s="8">
        <v>1156.6600000000001</v>
      </c>
      <c r="J141" s="10">
        <v>921</v>
      </c>
      <c r="K141" s="8">
        <v>1770.41</v>
      </c>
      <c r="L141" s="8">
        <v>1477.98</v>
      </c>
      <c r="M141" s="10">
        <v>0</v>
      </c>
      <c r="N141" s="8">
        <v>1790.32</v>
      </c>
      <c r="O141" s="8">
        <v>3253.72</v>
      </c>
      <c r="P141" s="10">
        <v>0</v>
      </c>
      <c r="Q141" s="10">
        <v>745.55</v>
      </c>
      <c r="R141" s="10">
        <v>887.46</v>
      </c>
      <c r="S141" s="8">
        <v>1586.13</v>
      </c>
      <c r="T141" s="42">
        <v>0</v>
      </c>
      <c r="U141" s="10">
        <v>558.94000000000005</v>
      </c>
      <c r="V141" s="8">
        <v>2995.67</v>
      </c>
      <c r="W141" s="8">
        <v>4185.6899999999996</v>
      </c>
      <c r="X141" s="8">
        <v>5341.67</v>
      </c>
      <c r="Y141" s="8">
        <v>4670.8900000000003</v>
      </c>
      <c r="Z141" s="43">
        <v>0</v>
      </c>
      <c r="AA141" s="10">
        <v>0</v>
      </c>
      <c r="AB141" s="10">
        <v>0</v>
      </c>
      <c r="AC141" s="10">
        <v>0</v>
      </c>
      <c r="AD141" s="33">
        <v>0</v>
      </c>
      <c r="AE141" s="10">
        <v>821.1</v>
      </c>
      <c r="AF141" s="33">
        <v>0</v>
      </c>
      <c r="AG141" s="33">
        <v>0</v>
      </c>
      <c r="AH141" s="33">
        <v>0</v>
      </c>
      <c r="AI141" s="33">
        <v>0</v>
      </c>
      <c r="AJ141" s="42">
        <v>0</v>
      </c>
      <c r="AK141" s="7">
        <v>0</v>
      </c>
      <c r="AL141" s="7">
        <v>0</v>
      </c>
    </row>
    <row r="142" spans="1:39" ht="15">
      <c r="A142" s="16">
        <v>45108</v>
      </c>
      <c r="B142" s="8">
        <v>6176.21</v>
      </c>
      <c r="C142" s="8">
        <v>2484.83</v>
      </c>
      <c r="D142" s="10">
        <v>0</v>
      </c>
      <c r="E142" s="8">
        <v>3019.87</v>
      </c>
      <c r="F142" s="8">
        <v>2216.2199999999998</v>
      </c>
      <c r="G142" s="8">
        <v>1131.0999999999999</v>
      </c>
      <c r="H142" s="33">
        <v>0</v>
      </c>
      <c r="I142" s="8">
        <v>1732.72</v>
      </c>
      <c r="J142" s="8">
        <v>1384.34</v>
      </c>
      <c r="K142" s="8">
        <v>2025.81</v>
      </c>
      <c r="L142" s="8">
        <v>2103.96</v>
      </c>
      <c r="M142" s="10">
        <v>0</v>
      </c>
      <c r="N142" s="8">
        <v>2690.97</v>
      </c>
      <c r="O142" s="8">
        <v>4880.74</v>
      </c>
      <c r="P142" s="10">
        <v>0</v>
      </c>
      <c r="Q142" s="8">
        <v>1156.1199999999999</v>
      </c>
      <c r="R142" s="8">
        <v>1309.42</v>
      </c>
      <c r="S142" s="8">
        <v>2379.1999999999998</v>
      </c>
      <c r="T142" s="42">
        <v>0</v>
      </c>
      <c r="U142" s="10">
        <v>836.68</v>
      </c>
      <c r="V142" s="8">
        <v>4493.5</v>
      </c>
      <c r="W142" s="8">
        <v>6271.99</v>
      </c>
      <c r="X142" s="8">
        <v>8012.5</v>
      </c>
      <c r="Y142" s="8">
        <v>7005.11</v>
      </c>
      <c r="Z142" s="43">
        <v>0</v>
      </c>
      <c r="AA142" s="10">
        <v>0</v>
      </c>
      <c r="AB142" s="10">
        <v>0</v>
      </c>
      <c r="AC142" s="10">
        <v>0</v>
      </c>
      <c r="AD142" s="33">
        <v>0</v>
      </c>
      <c r="AE142" s="8">
        <v>1231.72</v>
      </c>
      <c r="AF142" s="33">
        <v>0</v>
      </c>
      <c r="AG142" s="33">
        <v>0</v>
      </c>
      <c r="AH142" s="33">
        <v>0</v>
      </c>
      <c r="AI142" s="33">
        <v>0</v>
      </c>
      <c r="AJ142" s="42">
        <v>0</v>
      </c>
      <c r="AK142" s="7">
        <v>0</v>
      </c>
      <c r="AL142" s="7">
        <v>0</v>
      </c>
    </row>
    <row r="143" spans="1:39" ht="15">
      <c r="A143" s="16">
        <v>45139</v>
      </c>
      <c r="B143" s="8">
        <v>4117.47</v>
      </c>
      <c r="C143" s="8">
        <v>1656.55</v>
      </c>
      <c r="D143" s="10">
        <v>0</v>
      </c>
      <c r="E143" s="8">
        <v>2013.25</v>
      </c>
      <c r="F143" s="8">
        <v>1477.48</v>
      </c>
      <c r="G143" s="10">
        <v>754.06</v>
      </c>
      <c r="H143" s="33">
        <v>0</v>
      </c>
      <c r="I143" s="8">
        <v>1155.1500000000001</v>
      </c>
      <c r="J143" s="10">
        <v>922.9</v>
      </c>
      <c r="K143" s="8">
        <v>1350.54</v>
      </c>
      <c r="L143" s="8">
        <v>1402.64</v>
      </c>
      <c r="M143" s="10">
        <v>0</v>
      </c>
      <c r="N143" s="8">
        <v>1793.98</v>
      </c>
      <c r="O143" s="8">
        <v>3253.82</v>
      </c>
      <c r="P143" s="10">
        <v>0</v>
      </c>
      <c r="Q143" s="10">
        <v>782.4</v>
      </c>
      <c r="R143" s="10">
        <v>872.95</v>
      </c>
      <c r="S143" s="8">
        <v>1586.13</v>
      </c>
      <c r="T143" s="42">
        <v>0</v>
      </c>
      <c r="U143" s="10">
        <v>557.55999999999995</v>
      </c>
      <c r="V143" s="8">
        <v>2995.67</v>
      </c>
      <c r="W143" s="8">
        <v>4181.2299999999996</v>
      </c>
      <c r="X143" s="8">
        <v>5341.67</v>
      </c>
      <c r="Y143" s="8">
        <v>4670.07</v>
      </c>
      <c r="Z143" s="43">
        <v>0</v>
      </c>
      <c r="AA143" s="10">
        <v>0</v>
      </c>
      <c r="AB143" s="10">
        <v>0</v>
      </c>
      <c r="AC143" s="10">
        <v>0</v>
      </c>
      <c r="AD143" s="33">
        <v>0</v>
      </c>
      <c r="AE143" s="10">
        <v>821.15</v>
      </c>
      <c r="AF143" s="33">
        <v>0</v>
      </c>
      <c r="AG143" s="33">
        <v>0</v>
      </c>
      <c r="AH143" s="33">
        <v>0</v>
      </c>
      <c r="AI143" s="33">
        <v>0</v>
      </c>
      <c r="AJ143" s="42">
        <v>0</v>
      </c>
      <c r="AK143" s="7">
        <v>0</v>
      </c>
      <c r="AL143" s="7">
        <v>0</v>
      </c>
    </row>
    <row r="144" spans="1:39" ht="15">
      <c r="A144" s="16">
        <v>45170</v>
      </c>
      <c r="B144" s="8">
        <v>5146.84</v>
      </c>
      <c r="C144" s="8">
        <v>2070.69</v>
      </c>
      <c r="D144" s="10">
        <v>0</v>
      </c>
      <c r="E144" s="8">
        <v>2516.56</v>
      </c>
      <c r="F144" s="8">
        <v>1846.85</v>
      </c>
      <c r="G144" s="10">
        <v>942.58</v>
      </c>
      <c r="H144" s="33">
        <v>0</v>
      </c>
      <c r="I144" s="8">
        <v>1443.94</v>
      </c>
      <c r="J144" s="8">
        <v>1153.6199999999999</v>
      </c>
      <c r="K144" s="8">
        <v>1688.17</v>
      </c>
      <c r="L144" s="8">
        <v>1753.3</v>
      </c>
      <c r="M144" s="10">
        <v>0</v>
      </c>
      <c r="N144" s="8">
        <v>2242.4699999999998</v>
      </c>
      <c r="O144" s="8">
        <v>4067.28</v>
      </c>
      <c r="P144" s="10">
        <v>0</v>
      </c>
      <c r="Q144" s="10">
        <v>978</v>
      </c>
      <c r="R144" s="8">
        <v>1091.19</v>
      </c>
      <c r="S144" s="8">
        <v>1982.67</v>
      </c>
      <c r="T144" s="42">
        <v>0</v>
      </c>
      <c r="U144" s="10">
        <v>696.95</v>
      </c>
      <c r="V144" s="8">
        <v>3744.58</v>
      </c>
      <c r="W144" s="8">
        <v>5226.54</v>
      </c>
      <c r="X144" s="8">
        <v>6677.09</v>
      </c>
      <c r="Y144" s="8">
        <v>5837.59</v>
      </c>
      <c r="Z144" s="43">
        <v>0</v>
      </c>
      <c r="AA144" s="10">
        <v>0</v>
      </c>
      <c r="AB144" s="10">
        <v>0</v>
      </c>
      <c r="AC144" s="10">
        <v>0</v>
      </c>
      <c r="AD144" s="33">
        <v>0</v>
      </c>
      <c r="AE144" s="8">
        <v>1026.43</v>
      </c>
      <c r="AF144" s="33">
        <v>0</v>
      </c>
      <c r="AG144" s="33">
        <v>0</v>
      </c>
      <c r="AH144" s="33">
        <v>0</v>
      </c>
      <c r="AI144" s="33">
        <v>0</v>
      </c>
      <c r="AJ144" s="42">
        <v>0</v>
      </c>
      <c r="AK144" s="7">
        <v>0</v>
      </c>
      <c r="AL144" s="7">
        <v>0</v>
      </c>
    </row>
    <row r="145" spans="1:38" ht="15">
      <c r="A145" s="16">
        <v>45200</v>
      </c>
      <c r="B145" s="8">
        <v>5146.84</v>
      </c>
      <c r="C145" s="8">
        <v>2070.6</v>
      </c>
      <c r="D145" s="10">
        <v>0</v>
      </c>
      <c r="E145" s="8">
        <v>2515.98</v>
      </c>
      <c r="F145" s="8">
        <v>1846.85</v>
      </c>
      <c r="G145" s="10">
        <v>942.58</v>
      </c>
      <c r="H145" s="33">
        <v>0</v>
      </c>
      <c r="I145" s="8">
        <v>1445.45</v>
      </c>
      <c r="J145" s="8">
        <v>1152.1400000000001</v>
      </c>
      <c r="K145" s="8">
        <v>1688.17</v>
      </c>
      <c r="L145" s="8">
        <v>1753.3</v>
      </c>
      <c r="M145" s="10">
        <v>0</v>
      </c>
      <c r="N145" s="8">
        <v>2242.4699999999998</v>
      </c>
      <c r="O145" s="8">
        <v>4067.23</v>
      </c>
      <c r="P145" s="10">
        <v>0</v>
      </c>
      <c r="Q145" s="10">
        <v>978</v>
      </c>
      <c r="R145" s="8">
        <v>1109.3499999999999</v>
      </c>
      <c r="S145" s="8">
        <v>1982.67</v>
      </c>
      <c r="T145" s="42">
        <v>0</v>
      </c>
      <c r="U145" s="10">
        <v>696.95</v>
      </c>
      <c r="V145" s="8">
        <v>3744.58</v>
      </c>
      <c r="W145" s="8">
        <v>5226.55</v>
      </c>
      <c r="X145" s="8">
        <v>6677.09</v>
      </c>
      <c r="Y145" s="8">
        <v>5838.61</v>
      </c>
      <c r="Z145" s="43">
        <v>0</v>
      </c>
      <c r="AA145" s="33">
        <v>0</v>
      </c>
      <c r="AB145" s="10">
        <v>0</v>
      </c>
      <c r="AC145" s="10">
        <v>0</v>
      </c>
      <c r="AD145" s="33">
        <v>0</v>
      </c>
      <c r="AE145" s="8">
        <v>1026.53</v>
      </c>
      <c r="AF145" s="33">
        <v>0</v>
      </c>
      <c r="AG145" s="33">
        <v>0</v>
      </c>
      <c r="AH145" s="33">
        <v>0</v>
      </c>
      <c r="AI145" s="33">
        <v>0</v>
      </c>
      <c r="AJ145" s="42">
        <v>0</v>
      </c>
      <c r="AK145" s="7">
        <v>0</v>
      </c>
      <c r="AL145" s="7">
        <v>0</v>
      </c>
    </row>
    <row r="146" spans="1:38" ht="15">
      <c r="A146" s="16">
        <v>45231</v>
      </c>
      <c r="B146" s="8">
        <v>5146.84</v>
      </c>
      <c r="C146" s="8">
        <v>2070.6</v>
      </c>
      <c r="D146" s="10">
        <v>0</v>
      </c>
      <c r="E146" s="8">
        <v>2515.98</v>
      </c>
      <c r="F146" s="8">
        <v>1846.85</v>
      </c>
      <c r="G146" s="10">
        <v>942.58</v>
      </c>
      <c r="H146" s="33">
        <v>0</v>
      </c>
      <c r="I146" s="8">
        <v>1445.45</v>
      </c>
      <c r="J146" s="8">
        <v>1149.92</v>
      </c>
      <c r="K146" s="8">
        <v>1688.17</v>
      </c>
      <c r="L146" s="8">
        <v>1753.3</v>
      </c>
      <c r="M146" s="10">
        <v>0</v>
      </c>
      <c r="N146" s="8">
        <v>2242.4699999999998</v>
      </c>
      <c r="O146" s="8">
        <v>4067.16</v>
      </c>
      <c r="P146" s="10">
        <v>0</v>
      </c>
      <c r="Q146" s="10">
        <v>978</v>
      </c>
      <c r="R146" s="8">
        <v>1109.3499999999999</v>
      </c>
      <c r="S146" s="8">
        <v>1982.67</v>
      </c>
      <c r="T146" s="42">
        <v>0</v>
      </c>
      <c r="U146" s="10">
        <v>696.95</v>
      </c>
      <c r="V146" s="8">
        <v>3744.58</v>
      </c>
      <c r="W146" s="8">
        <v>5226.55</v>
      </c>
      <c r="X146" s="8">
        <v>6677.09</v>
      </c>
      <c r="Y146" s="8">
        <v>5838.61</v>
      </c>
      <c r="Z146" s="43">
        <v>0</v>
      </c>
      <c r="AA146" s="33">
        <v>0</v>
      </c>
      <c r="AB146" s="10">
        <v>0</v>
      </c>
      <c r="AC146" s="10">
        <v>0</v>
      </c>
      <c r="AD146" s="33">
        <v>0</v>
      </c>
      <c r="AE146" s="8">
        <v>1026.53</v>
      </c>
      <c r="AF146" s="33">
        <v>0</v>
      </c>
      <c r="AG146" s="33">
        <v>0</v>
      </c>
      <c r="AH146" s="33">
        <v>0</v>
      </c>
      <c r="AI146" s="33">
        <v>0</v>
      </c>
      <c r="AJ146" s="42">
        <v>0</v>
      </c>
      <c r="AK146" s="7">
        <v>0</v>
      </c>
      <c r="AL146" s="7">
        <v>0</v>
      </c>
    </row>
    <row r="147" spans="1:38" ht="15">
      <c r="A147" s="16">
        <v>45261</v>
      </c>
      <c r="B147" s="8">
        <v>5145.16</v>
      </c>
      <c r="C147" s="8">
        <v>2070.67</v>
      </c>
      <c r="D147" s="10">
        <v>0</v>
      </c>
      <c r="E147" s="8">
        <v>2515.98</v>
      </c>
      <c r="F147" s="8">
        <v>1846.85</v>
      </c>
      <c r="G147" s="10">
        <v>942.63</v>
      </c>
      <c r="H147" s="33">
        <v>0</v>
      </c>
      <c r="I147" s="8">
        <v>1445.45</v>
      </c>
      <c r="J147" s="8">
        <v>1151.3</v>
      </c>
      <c r="K147" s="8">
        <v>1688.17</v>
      </c>
      <c r="L147" s="8">
        <v>1753.3</v>
      </c>
      <c r="M147" s="10">
        <v>0</v>
      </c>
      <c r="N147" s="8">
        <v>2242.4699999999998</v>
      </c>
      <c r="O147" s="8">
        <v>4067.16</v>
      </c>
      <c r="P147" s="10">
        <v>0</v>
      </c>
      <c r="Q147" s="10">
        <v>978</v>
      </c>
      <c r="R147" s="8">
        <v>1109.3499999999999</v>
      </c>
      <c r="S147" s="8">
        <v>1982.67</v>
      </c>
      <c r="T147" s="42">
        <v>0</v>
      </c>
      <c r="U147" s="10">
        <v>696.95</v>
      </c>
      <c r="V147" s="8">
        <v>3744.58</v>
      </c>
      <c r="W147" s="8">
        <v>5232.09</v>
      </c>
      <c r="X147" s="8">
        <v>6677.09</v>
      </c>
      <c r="Y147" s="8">
        <v>5838.61</v>
      </c>
      <c r="Z147" s="43">
        <v>0</v>
      </c>
      <c r="AA147" s="33">
        <v>0</v>
      </c>
      <c r="AB147" s="10">
        <v>0</v>
      </c>
      <c r="AC147" s="10">
        <v>0</v>
      </c>
      <c r="AD147" s="33">
        <v>0</v>
      </c>
      <c r="AE147" s="8">
        <v>1026.53</v>
      </c>
      <c r="AF147" s="33">
        <v>0</v>
      </c>
      <c r="AG147" s="33">
        <v>0</v>
      </c>
      <c r="AH147" s="33">
        <v>0</v>
      </c>
      <c r="AI147" s="33">
        <v>0</v>
      </c>
      <c r="AJ147" s="42">
        <v>0</v>
      </c>
      <c r="AK147" s="7">
        <v>0</v>
      </c>
      <c r="AL147" s="7">
        <v>0</v>
      </c>
    </row>
    <row r="148" spans="1:38" ht="15">
      <c r="A148" s="16">
        <v>45292</v>
      </c>
      <c r="B148" s="8">
        <v>5155.03</v>
      </c>
      <c r="C148" s="8">
        <v>2150.64</v>
      </c>
      <c r="D148" s="10">
        <v>0</v>
      </c>
      <c r="E148" s="8">
        <v>2830.6</v>
      </c>
      <c r="F148" s="8">
        <v>1901.17</v>
      </c>
      <c r="G148" s="8">
        <v>1256.8599999999999</v>
      </c>
      <c r="H148" s="33">
        <v>0</v>
      </c>
      <c r="I148" s="8">
        <v>1445.93</v>
      </c>
      <c r="J148" s="8">
        <v>1152.2</v>
      </c>
      <c r="K148" s="8">
        <v>2214.1799999999998</v>
      </c>
      <c r="L148" s="8">
        <v>1844.15</v>
      </c>
      <c r="M148" s="10">
        <v>0</v>
      </c>
      <c r="N148" s="8">
        <v>2238.16</v>
      </c>
      <c r="O148" s="8">
        <v>4068.75</v>
      </c>
      <c r="P148" s="10">
        <v>0</v>
      </c>
      <c r="Q148" s="10">
        <v>978.02</v>
      </c>
      <c r="R148" s="8">
        <v>1087.82</v>
      </c>
      <c r="S148" s="8">
        <v>1910.67</v>
      </c>
      <c r="T148" s="42">
        <v>0</v>
      </c>
      <c r="U148" s="10">
        <v>833.93</v>
      </c>
      <c r="V148" s="8">
        <v>3744.58</v>
      </c>
      <c r="W148" s="8">
        <v>5232.12</v>
      </c>
      <c r="X148" s="8">
        <v>6677.04</v>
      </c>
      <c r="Y148" s="8">
        <v>5838.61</v>
      </c>
      <c r="Z148" s="43">
        <v>0</v>
      </c>
      <c r="AA148" s="33">
        <v>0</v>
      </c>
      <c r="AB148" s="10">
        <v>0</v>
      </c>
      <c r="AC148" s="10">
        <v>0</v>
      </c>
      <c r="AD148" s="8">
        <v>1219.72</v>
      </c>
      <c r="AE148" s="8">
        <v>1026.3699999999999</v>
      </c>
      <c r="AF148" s="8">
        <v>3188.52</v>
      </c>
      <c r="AG148" s="33">
        <v>0</v>
      </c>
      <c r="AH148" s="33">
        <v>0</v>
      </c>
      <c r="AI148" s="33">
        <v>0</v>
      </c>
      <c r="AJ148" s="42">
        <v>0</v>
      </c>
      <c r="AK148" s="7">
        <v>0</v>
      </c>
      <c r="AL148" s="7">
        <v>0</v>
      </c>
    </row>
    <row r="149" spans="1:38" ht="15">
      <c r="A149" s="16">
        <v>45323</v>
      </c>
      <c r="B149" s="8">
        <v>4124.03</v>
      </c>
      <c r="C149" s="8">
        <v>1720.51</v>
      </c>
      <c r="D149" s="10">
        <v>0</v>
      </c>
      <c r="E149" s="8">
        <v>2264.48</v>
      </c>
      <c r="F149" s="8">
        <v>1520.94</v>
      </c>
      <c r="G149" s="8">
        <v>1005.49</v>
      </c>
      <c r="H149" s="33">
        <v>0</v>
      </c>
      <c r="I149" s="8">
        <v>1156.75</v>
      </c>
      <c r="J149" s="10">
        <v>921.76</v>
      </c>
      <c r="K149" s="8">
        <v>1771.35</v>
      </c>
      <c r="L149" s="8">
        <v>1475.32</v>
      </c>
      <c r="M149" s="10">
        <v>0</v>
      </c>
      <c r="N149" s="8">
        <v>1790.53</v>
      </c>
      <c r="O149" s="8">
        <v>3255</v>
      </c>
      <c r="P149" s="10">
        <v>0</v>
      </c>
      <c r="Q149" s="10">
        <v>782.41</v>
      </c>
      <c r="R149" s="10">
        <v>870.26</v>
      </c>
      <c r="S149" s="8">
        <v>1528.53</v>
      </c>
      <c r="T149" s="42">
        <v>0</v>
      </c>
      <c r="U149" s="10">
        <v>667.15</v>
      </c>
      <c r="V149" s="8">
        <v>2995.67</v>
      </c>
      <c r="W149" s="8">
        <v>4185.6899999999996</v>
      </c>
      <c r="X149" s="8">
        <v>5341.63</v>
      </c>
      <c r="Y149" s="8">
        <v>4670.8900000000003</v>
      </c>
      <c r="Z149" s="43">
        <v>0</v>
      </c>
      <c r="AA149" s="33">
        <v>0</v>
      </c>
      <c r="AB149" s="10">
        <v>0</v>
      </c>
      <c r="AC149" s="10">
        <v>0</v>
      </c>
      <c r="AD149" s="10">
        <v>975.77</v>
      </c>
      <c r="AE149" s="10">
        <v>821.1</v>
      </c>
      <c r="AF149" s="8">
        <v>2550.8200000000002</v>
      </c>
      <c r="AG149" s="33">
        <v>0</v>
      </c>
      <c r="AH149" s="33">
        <v>0</v>
      </c>
      <c r="AI149" s="33">
        <v>0</v>
      </c>
      <c r="AJ149" s="42">
        <v>0</v>
      </c>
      <c r="AK149" s="7">
        <v>0</v>
      </c>
      <c r="AL149" s="7">
        <v>0</v>
      </c>
    </row>
    <row r="150" spans="1:38" ht="15">
      <c r="A150" s="16">
        <v>45352</v>
      </c>
      <c r="B150" s="8">
        <v>5155.03</v>
      </c>
      <c r="C150" s="8">
        <v>2150.64</v>
      </c>
      <c r="D150" s="10">
        <v>0</v>
      </c>
      <c r="E150" s="8">
        <v>2829.3</v>
      </c>
      <c r="F150" s="8">
        <v>1901.17</v>
      </c>
      <c r="G150" s="8">
        <v>1256.8599999999999</v>
      </c>
      <c r="H150" s="33">
        <v>0</v>
      </c>
      <c r="I150" s="8">
        <v>1824.14</v>
      </c>
      <c r="J150" s="8">
        <v>1152.2</v>
      </c>
      <c r="K150" s="8">
        <v>2214.1799999999998</v>
      </c>
      <c r="L150" s="8">
        <v>1844.15</v>
      </c>
      <c r="M150" s="10">
        <v>0</v>
      </c>
      <c r="N150" s="8">
        <v>2111.6799999999998</v>
      </c>
      <c r="O150" s="8">
        <v>4068.75</v>
      </c>
      <c r="P150" s="10">
        <v>0</v>
      </c>
      <c r="Q150" s="10">
        <v>981.15</v>
      </c>
      <c r="R150" s="8">
        <v>1086.76</v>
      </c>
      <c r="S150" s="8">
        <v>1910.67</v>
      </c>
      <c r="T150" s="42">
        <v>0</v>
      </c>
      <c r="U150" s="10">
        <v>831.66</v>
      </c>
      <c r="V150" s="8">
        <v>3744.58</v>
      </c>
      <c r="W150" s="8">
        <v>5232.12</v>
      </c>
      <c r="X150" s="8">
        <v>6677.04</v>
      </c>
      <c r="Y150" s="8">
        <v>5838.61</v>
      </c>
      <c r="Z150" s="43">
        <v>0</v>
      </c>
      <c r="AA150" s="10">
        <v>392.89</v>
      </c>
      <c r="AB150" s="10">
        <v>0</v>
      </c>
      <c r="AC150" s="10">
        <v>0</v>
      </c>
      <c r="AD150" s="8">
        <v>1502.76</v>
      </c>
      <c r="AE150" s="8">
        <v>1026.3699999999999</v>
      </c>
      <c r="AF150" s="8">
        <v>3412.42</v>
      </c>
      <c r="AG150" s="33">
        <v>0</v>
      </c>
      <c r="AH150" s="33">
        <v>0</v>
      </c>
      <c r="AI150" s="33">
        <v>0</v>
      </c>
      <c r="AJ150" s="42">
        <v>0</v>
      </c>
      <c r="AK150" s="7">
        <v>0</v>
      </c>
      <c r="AL150" s="7">
        <v>0</v>
      </c>
    </row>
    <row r="151" spans="1:38" ht="15">
      <c r="A151" s="16">
        <v>45383</v>
      </c>
      <c r="B151" s="8">
        <v>4124.03</v>
      </c>
      <c r="C151" s="8">
        <v>1720.51</v>
      </c>
      <c r="D151" s="10">
        <v>0</v>
      </c>
      <c r="E151" s="8">
        <v>2259.29</v>
      </c>
      <c r="F151" s="8">
        <v>1520.94</v>
      </c>
      <c r="G151" s="8">
        <v>1005.49</v>
      </c>
      <c r="H151" s="33">
        <v>0</v>
      </c>
      <c r="I151" s="8">
        <v>2669.57</v>
      </c>
      <c r="J151" s="10">
        <v>921.76</v>
      </c>
      <c r="K151" s="8">
        <v>1771.35</v>
      </c>
      <c r="L151" s="8">
        <v>1475.32</v>
      </c>
      <c r="M151" s="10">
        <v>0</v>
      </c>
      <c r="N151" s="8">
        <v>1284.6199999999999</v>
      </c>
      <c r="O151" s="8">
        <v>3255</v>
      </c>
      <c r="P151" s="10">
        <v>0</v>
      </c>
      <c r="Q151" s="10">
        <v>794.93</v>
      </c>
      <c r="R151" s="10">
        <v>865.99</v>
      </c>
      <c r="S151" s="8">
        <v>1528.53</v>
      </c>
      <c r="T151" s="42">
        <v>0</v>
      </c>
      <c r="U151" s="10">
        <v>658.06</v>
      </c>
      <c r="V151" s="8">
        <v>2995.67</v>
      </c>
      <c r="W151" s="8">
        <v>4185.6899999999996</v>
      </c>
      <c r="X151" s="8">
        <v>5341.63</v>
      </c>
      <c r="Y151" s="8">
        <v>4670.8900000000003</v>
      </c>
      <c r="Z151" s="43">
        <v>0</v>
      </c>
      <c r="AA151" s="8">
        <v>1571.54</v>
      </c>
      <c r="AB151" s="42">
        <v>0</v>
      </c>
      <c r="AC151" s="10">
        <v>0</v>
      </c>
      <c r="AD151" s="8">
        <v>2107.9299999999998</v>
      </c>
      <c r="AE151" s="10">
        <v>821.1</v>
      </c>
      <c r="AF151" s="8">
        <v>3446.4</v>
      </c>
      <c r="AG151" s="33">
        <v>0</v>
      </c>
      <c r="AH151" s="33">
        <v>0</v>
      </c>
      <c r="AI151" s="33">
        <v>0</v>
      </c>
      <c r="AJ151" s="42">
        <v>0</v>
      </c>
      <c r="AK151" s="7">
        <v>0</v>
      </c>
      <c r="AL151" s="7">
        <v>0</v>
      </c>
    </row>
    <row r="152" spans="1:38" ht="15">
      <c r="A152" s="16">
        <v>45413</v>
      </c>
      <c r="B152" s="8">
        <v>5155.03</v>
      </c>
      <c r="C152" s="8">
        <v>2150.64</v>
      </c>
      <c r="D152" s="10">
        <v>0</v>
      </c>
      <c r="E152" s="8">
        <v>2824.11</v>
      </c>
      <c r="F152" s="8">
        <v>1901.17</v>
      </c>
      <c r="G152" s="8">
        <v>1256.8599999999999</v>
      </c>
      <c r="H152" s="33">
        <v>0</v>
      </c>
      <c r="I152" s="8">
        <v>3336.96</v>
      </c>
      <c r="J152" s="8">
        <v>1152.2</v>
      </c>
      <c r="K152" s="8">
        <v>2214.1799999999998</v>
      </c>
      <c r="L152" s="8">
        <v>1844.15</v>
      </c>
      <c r="M152" s="10">
        <v>0</v>
      </c>
      <c r="N152" s="8">
        <v>1605.77</v>
      </c>
      <c r="O152" s="8">
        <v>4068.75</v>
      </c>
      <c r="P152" s="10">
        <v>0</v>
      </c>
      <c r="Q152" s="10">
        <v>993.66</v>
      </c>
      <c r="R152" s="8">
        <v>1082.49</v>
      </c>
      <c r="S152" s="8">
        <v>1910.67</v>
      </c>
      <c r="T152" s="42">
        <v>0</v>
      </c>
      <c r="U152" s="10">
        <v>822.58</v>
      </c>
      <c r="V152" s="8">
        <v>3744.58</v>
      </c>
      <c r="W152" s="8">
        <v>5232.12</v>
      </c>
      <c r="X152" s="8">
        <v>6677.04</v>
      </c>
      <c r="Y152" s="8">
        <v>5838.61</v>
      </c>
      <c r="Z152" s="43">
        <v>0</v>
      </c>
      <c r="AA152" s="8">
        <v>1964.43</v>
      </c>
      <c r="AB152" s="42">
        <v>0</v>
      </c>
      <c r="AC152" s="10">
        <v>0</v>
      </c>
      <c r="AD152" s="8">
        <v>2634.92</v>
      </c>
      <c r="AE152" s="8">
        <v>1026.3699999999999</v>
      </c>
      <c r="AF152" s="8">
        <v>4308.01</v>
      </c>
      <c r="AG152" s="33">
        <v>0</v>
      </c>
      <c r="AH152" s="33">
        <v>0</v>
      </c>
      <c r="AI152" s="33">
        <v>0</v>
      </c>
      <c r="AJ152" s="42">
        <v>0</v>
      </c>
      <c r="AK152" s="7">
        <v>0</v>
      </c>
      <c r="AL152" s="7">
        <v>0</v>
      </c>
    </row>
    <row r="153" spans="1:38" ht="15">
      <c r="A153" s="16">
        <v>45444</v>
      </c>
      <c r="B153" s="8">
        <v>5155.03</v>
      </c>
      <c r="C153" s="8">
        <v>2150.64</v>
      </c>
      <c r="D153" s="10">
        <v>0</v>
      </c>
      <c r="E153" s="8">
        <v>2824.11</v>
      </c>
      <c r="F153" s="8">
        <v>1901.17</v>
      </c>
      <c r="G153" s="8">
        <v>1256.8599999999999</v>
      </c>
      <c r="H153" s="33">
        <v>0</v>
      </c>
      <c r="I153" s="8">
        <v>3336.96</v>
      </c>
      <c r="J153" s="8">
        <v>1152.2</v>
      </c>
      <c r="K153" s="8">
        <v>2214.1799999999998</v>
      </c>
      <c r="L153" s="8">
        <v>1844.15</v>
      </c>
      <c r="M153" s="10">
        <v>0</v>
      </c>
      <c r="N153" s="8">
        <v>1605.77</v>
      </c>
      <c r="O153" s="8">
        <v>4068.75</v>
      </c>
      <c r="P153" s="10">
        <v>0</v>
      </c>
      <c r="Q153" s="10">
        <v>993.66</v>
      </c>
      <c r="R153" s="8">
        <v>1082.49</v>
      </c>
      <c r="S153" s="8">
        <v>1910.67</v>
      </c>
      <c r="T153" s="42">
        <v>0</v>
      </c>
      <c r="U153" s="10">
        <v>822.58</v>
      </c>
      <c r="V153" s="8">
        <v>3744.58</v>
      </c>
      <c r="W153" s="8">
        <v>5232.12</v>
      </c>
      <c r="X153" s="8">
        <v>6677.04</v>
      </c>
      <c r="Y153" s="8">
        <v>5838.61</v>
      </c>
      <c r="Z153" s="43">
        <v>0</v>
      </c>
      <c r="AA153" s="8">
        <v>1964.43</v>
      </c>
      <c r="AB153" s="42">
        <v>0</v>
      </c>
      <c r="AC153" s="10">
        <v>0</v>
      </c>
      <c r="AD153" s="8">
        <v>2634.92</v>
      </c>
      <c r="AE153" s="8">
        <v>1026.3699999999999</v>
      </c>
      <c r="AF153" s="8">
        <v>4308.01</v>
      </c>
      <c r="AG153" s="33">
        <v>0</v>
      </c>
      <c r="AH153" s="33">
        <v>0</v>
      </c>
      <c r="AI153" s="33">
        <v>0</v>
      </c>
      <c r="AJ153" s="42">
        <v>0</v>
      </c>
      <c r="AK153" s="7">
        <v>0</v>
      </c>
      <c r="AL153" s="7">
        <v>0</v>
      </c>
    </row>
    <row r="154" spans="1:38" ht="15">
      <c r="A154" s="16">
        <v>45474</v>
      </c>
      <c r="B154" s="8">
        <v>6256.4</v>
      </c>
      <c r="C154" s="8">
        <v>2484.8000000000002</v>
      </c>
      <c r="D154" s="10">
        <v>0</v>
      </c>
      <c r="E154" s="8">
        <v>3019.24</v>
      </c>
      <c r="F154" s="8">
        <v>2265.52</v>
      </c>
      <c r="G154" s="8">
        <v>1131.1600000000001</v>
      </c>
      <c r="H154" s="33">
        <v>0</v>
      </c>
      <c r="I154" s="8">
        <v>1735</v>
      </c>
      <c r="J154" s="8">
        <v>1397.86</v>
      </c>
      <c r="K154" s="8">
        <v>2656.08</v>
      </c>
      <c r="L154" s="8">
        <v>2215.64</v>
      </c>
      <c r="M154" s="10">
        <v>0</v>
      </c>
      <c r="N154" s="8">
        <v>2685.47</v>
      </c>
      <c r="O154" s="8">
        <v>4880.59</v>
      </c>
      <c r="P154" s="10">
        <v>0</v>
      </c>
      <c r="Q154" s="8">
        <v>1118.33</v>
      </c>
      <c r="R154" s="8">
        <v>1331.19</v>
      </c>
      <c r="S154" s="8">
        <v>2379.1999999999998</v>
      </c>
      <c r="T154" s="42">
        <v>0</v>
      </c>
      <c r="U154" s="10">
        <v>838.41</v>
      </c>
      <c r="V154" s="8">
        <v>4493.5</v>
      </c>
      <c r="W154" s="8">
        <v>6278.54</v>
      </c>
      <c r="X154" s="8">
        <v>8012.5</v>
      </c>
      <c r="Y154" s="8">
        <v>7006.33</v>
      </c>
      <c r="Z154" s="43">
        <v>0</v>
      </c>
      <c r="AA154" s="33">
        <v>0</v>
      </c>
      <c r="AB154" s="42">
        <v>0</v>
      </c>
      <c r="AC154" s="10">
        <v>0</v>
      </c>
      <c r="AD154" s="49">
        <v>0</v>
      </c>
      <c r="AE154" s="8">
        <v>1231.6500000000001</v>
      </c>
      <c r="AF154" s="33">
        <v>0</v>
      </c>
      <c r="AG154" s="33">
        <v>0</v>
      </c>
      <c r="AH154" s="33">
        <v>0</v>
      </c>
      <c r="AI154" s="33">
        <v>0</v>
      </c>
      <c r="AJ154" s="42">
        <v>0</v>
      </c>
      <c r="AK154" s="7">
        <v>0</v>
      </c>
      <c r="AL154" s="7">
        <v>0</v>
      </c>
    </row>
    <row r="155" spans="1:38" ht="15">
      <c r="A155" s="16">
        <v>45505</v>
      </c>
      <c r="B155" s="8">
        <v>4265.5200000000004</v>
      </c>
      <c r="C155" s="8">
        <v>1656.53</v>
      </c>
      <c r="D155" s="10">
        <v>0</v>
      </c>
      <c r="E155" s="8">
        <v>2012.87</v>
      </c>
      <c r="F155" s="8">
        <v>1575.87</v>
      </c>
      <c r="G155" s="10">
        <v>754.1</v>
      </c>
      <c r="H155" s="33">
        <v>0</v>
      </c>
      <c r="I155" s="8">
        <v>1156.6600000000001</v>
      </c>
      <c r="J155" s="10">
        <v>953.71</v>
      </c>
      <c r="K155" s="8">
        <v>1774.72</v>
      </c>
      <c r="L155" s="8">
        <v>1475.32</v>
      </c>
      <c r="M155" s="10">
        <v>0</v>
      </c>
      <c r="N155" s="8">
        <v>1790.32</v>
      </c>
      <c r="O155" s="8">
        <v>3253.72</v>
      </c>
      <c r="P155" s="10">
        <v>0</v>
      </c>
      <c r="Q155" s="10">
        <v>745.55</v>
      </c>
      <c r="R155" s="10">
        <v>887.46</v>
      </c>
      <c r="S155" s="8">
        <v>1586.13</v>
      </c>
      <c r="T155" s="42">
        <v>0</v>
      </c>
      <c r="U155" s="10">
        <v>558.94000000000005</v>
      </c>
      <c r="V155" s="8">
        <v>2995.67</v>
      </c>
      <c r="W155" s="8">
        <v>4185.6899999999996</v>
      </c>
      <c r="X155" s="8">
        <v>5341.67</v>
      </c>
      <c r="Y155" s="8">
        <v>4670.8900000000003</v>
      </c>
      <c r="Z155" s="43">
        <v>0</v>
      </c>
      <c r="AA155" s="33">
        <v>0</v>
      </c>
      <c r="AB155" s="42">
        <v>0</v>
      </c>
      <c r="AC155" s="10">
        <v>0</v>
      </c>
      <c r="AD155" s="33">
        <v>0</v>
      </c>
      <c r="AE155" s="10">
        <v>821.1</v>
      </c>
      <c r="AF155" s="33">
        <v>0</v>
      </c>
      <c r="AG155" s="33">
        <v>0</v>
      </c>
      <c r="AH155" s="33">
        <v>0</v>
      </c>
      <c r="AI155" s="33">
        <v>0</v>
      </c>
      <c r="AJ155" s="42">
        <v>0</v>
      </c>
      <c r="AK155" s="7">
        <v>0</v>
      </c>
      <c r="AL155" s="7">
        <v>0</v>
      </c>
    </row>
    <row r="156" spans="1:38" ht="15">
      <c r="A156" s="16">
        <v>45536</v>
      </c>
      <c r="B156" s="8">
        <v>5331.9</v>
      </c>
      <c r="C156" s="8">
        <v>2070.67</v>
      </c>
      <c r="D156" s="10">
        <v>0</v>
      </c>
      <c r="E156" s="8">
        <v>2516.09</v>
      </c>
      <c r="F156" s="8">
        <v>1969.84</v>
      </c>
      <c r="G156" s="10">
        <v>942.63</v>
      </c>
      <c r="H156" s="33">
        <v>0</v>
      </c>
      <c r="I156" s="8">
        <v>1445.83</v>
      </c>
      <c r="J156" s="8">
        <v>1192.1400000000001</v>
      </c>
      <c r="K156" s="8">
        <v>2218.4</v>
      </c>
      <c r="L156" s="8">
        <v>1844.15</v>
      </c>
      <c r="M156" s="10">
        <v>0</v>
      </c>
      <c r="N156" s="8">
        <v>2237.9</v>
      </c>
      <c r="O156" s="8">
        <v>4067.16</v>
      </c>
      <c r="P156" s="10">
        <v>0</v>
      </c>
      <c r="Q156" s="10">
        <v>931.94</v>
      </c>
      <c r="R156" s="8">
        <v>1109.32</v>
      </c>
      <c r="S156" s="8">
        <v>1982.67</v>
      </c>
      <c r="T156" s="42">
        <v>0</v>
      </c>
      <c r="U156" s="10">
        <v>698.68</v>
      </c>
      <c r="V156" s="8">
        <v>3744.58</v>
      </c>
      <c r="W156" s="8">
        <v>5232.12</v>
      </c>
      <c r="X156" s="8">
        <v>6677.09</v>
      </c>
      <c r="Y156" s="8">
        <v>5838.61</v>
      </c>
      <c r="Z156" s="43">
        <v>0</v>
      </c>
      <c r="AA156" s="33">
        <v>0</v>
      </c>
      <c r="AB156" s="42">
        <v>0</v>
      </c>
      <c r="AC156" s="10">
        <v>0</v>
      </c>
      <c r="AD156" s="33">
        <v>0</v>
      </c>
      <c r="AE156" s="8">
        <v>1026.3699999999999</v>
      </c>
      <c r="AF156" s="33">
        <v>0</v>
      </c>
      <c r="AG156" s="33">
        <v>0</v>
      </c>
      <c r="AH156" s="33">
        <v>0</v>
      </c>
      <c r="AI156" s="33">
        <v>0</v>
      </c>
      <c r="AJ156" s="42">
        <v>0</v>
      </c>
      <c r="AK156" s="7">
        <v>0</v>
      </c>
      <c r="AL156" s="7">
        <v>0</v>
      </c>
    </row>
    <row r="157" spans="1:38" ht="15">
      <c r="A157" s="16">
        <v>45566</v>
      </c>
      <c r="B157" s="8">
        <v>5155.17</v>
      </c>
      <c r="C157" s="8">
        <v>2150.64</v>
      </c>
      <c r="D157" s="10">
        <v>0</v>
      </c>
      <c r="E157" s="8">
        <v>2830.65</v>
      </c>
      <c r="F157" s="8">
        <v>1901.3</v>
      </c>
      <c r="G157" s="8">
        <v>1256.8599999999999</v>
      </c>
      <c r="H157" s="33">
        <v>0</v>
      </c>
      <c r="I157" s="8">
        <v>1445.83</v>
      </c>
      <c r="J157" s="8">
        <v>1152.2</v>
      </c>
      <c r="K157" s="8">
        <v>2214.1799999999998</v>
      </c>
      <c r="L157" s="8">
        <v>1844.15</v>
      </c>
      <c r="M157" s="10">
        <v>0</v>
      </c>
      <c r="N157" s="8">
        <v>2238.16</v>
      </c>
      <c r="O157" s="8">
        <v>4067.27</v>
      </c>
      <c r="P157" s="10">
        <v>0</v>
      </c>
      <c r="Q157" s="10">
        <v>978.02</v>
      </c>
      <c r="R157" s="8">
        <v>1087.82</v>
      </c>
      <c r="S157" s="8">
        <v>1982.67</v>
      </c>
      <c r="T157" s="42">
        <v>0</v>
      </c>
      <c r="U157" s="10">
        <v>833.93</v>
      </c>
      <c r="V157" s="8">
        <v>3744.58</v>
      </c>
      <c r="W157" s="8">
        <v>5232.12</v>
      </c>
      <c r="X157" s="8">
        <v>6677.04</v>
      </c>
      <c r="Y157" s="8">
        <v>5838.61</v>
      </c>
      <c r="Z157" s="43">
        <v>0</v>
      </c>
      <c r="AA157" s="33">
        <v>0</v>
      </c>
      <c r="AB157" s="42">
        <v>0</v>
      </c>
      <c r="AC157" s="10">
        <v>0</v>
      </c>
      <c r="AD157" s="8">
        <v>1219.72</v>
      </c>
      <c r="AE157" s="8">
        <v>1026.3699999999999</v>
      </c>
      <c r="AF157" s="8">
        <v>3188.52</v>
      </c>
      <c r="AG157" s="33">
        <v>0</v>
      </c>
      <c r="AH157" s="33">
        <v>0</v>
      </c>
      <c r="AI157" s="33">
        <v>0</v>
      </c>
      <c r="AJ157" s="42">
        <v>0</v>
      </c>
      <c r="AK157" s="7">
        <v>0</v>
      </c>
      <c r="AL157" s="7">
        <v>0</v>
      </c>
    </row>
    <row r="158" spans="1:38" ht="15">
      <c r="A158" s="16">
        <v>45597</v>
      </c>
      <c r="B158" s="8">
        <v>5155.21</v>
      </c>
      <c r="C158" s="8">
        <v>2150.64</v>
      </c>
      <c r="D158" s="10">
        <v>0</v>
      </c>
      <c r="E158" s="8">
        <v>2830.61</v>
      </c>
      <c r="F158" s="8">
        <v>1901.3</v>
      </c>
      <c r="G158" s="8">
        <v>1256.8599999999999</v>
      </c>
      <c r="H158" s="33">
        <v>0</v>
      </c>
      <c r="I158" s="8">
        <v>1445.91</v>
      </c>
      <c r="J158" s="8">
        <v>1152.2</v>
      </c>
      <c r="K158" s="8">
        <v>2214.1799999999998</v>
      </c>
      <c r="L158" s="8">
        <v>1844.15</v>
      </c>
      <c r="M158" s="10">
        <v>0</v>
      </c>
      <c r="N158" s="8">
        <v>2238.16</v>
      </c>
      <c r="O158" s="8">
        <v>4068.45</v>
      </c>
      <c r="P158" s="10">
        <v>0</v>
      </c>
      <c r="Q158" s="10">
        <v>978.02</v>
      </c>
      <c r="R158" s="8">
        <v>1087.82</v>
      </c>
      <c r="S158" s="8">
        <v>1925.07</v>
      </c>
      <c r="T158" s="42">
        <v>0</v>
      </c>
      <c r="U158" s="10">
        <v>833.93</v>
      </c>
      <c r="V158" s="8">
        <v>3744.58</v>
      </c>
      <c r="W158" s="8">
        <v>5232.12</v>
      </c>
      <c r="X158" s="8">
        <v>6677.04</v>
      </c>
      <c r="Y158" s="8">
        <v>5838.61</v>
      </c>
      <c r="Z158" s="43">
        <v>0</v>
      </c>
      <c r="AA158" s="33">
        <v>0</v>
      </c>
      <c r="AB158" s="42">
        <v>0</v>
      </c>
      <c r="AC158" s="10">
        <v>0</v>
      </c>
      <c r="AD158" s="8">
        <v>1219.72</v>
      </c>
      <c r="AE158" s="8">
        <v>1026.3699999999999</v>
      </c>
      <c r="AF158" s="8">
        <v>3188.52</v>
      </c>
      <c r="AG158" s="33">
        <v>0</v>
      </c>
      <c r="AH158" s="33">
        <v>0</v>
      </c>
      <c r="AI158" s="33">
        <v>0</v>
      </c>
      <c r="AJ158" s="42">
        <v>0</v>
      </c>
      <c r="AK158" s="7">
        <v>0</v>
      </c>
      <c r="AL158" s="7">
        <v>0</v>
      </c>
    </row>
    <row r="159" spans="1:38" ht="15">
      <c r="A159" s="16">
        <v>45627</v>
      </c>
      <c r="B159" s="8">
        <v>6240.78</v>
      </c>
      <c r="C159" s="8">
        <v>2602.88</v>
      </c>
      <c r="D159" s="10">
        <v>0</v>
      </c>
      <c r="E159" s="8">
        <v>3396.72</v>
      </c>
      <c r="F159" s="8">
        <v>2299.19</v>
      </c>
      <c r="G159" s="8">
        <v>1524.27</v>
      </c>
      <c r="H159" s="33">
        <v>0</v>
      </c>
      <c r="I159" s="8">
        <v>1754.42</v>
      </c>
      <c r="J159" s="8">
        <v>1401.83</v>
      </c>
      <c r="K159" s="8">
        <v>2685.95</v>
      </c>
      <c r="L159" s="8">
        <v>2237.39</v>
      </c>
      <c r="M159" s="10">
        <v>0</v>
      </c>
      <c r="N159" s="8">
        <v>2715.11</v>
      </c>
      <c r="O159" s="8">
        <v>4921.51</v>
      </c>
      <c r="P159" s="10">
        <v>0</v>
      </c>
      <c r="Q159" s="8">
        <v>1173.6199999999999</v>
      </c>
      <c r="R159" s="8">
        <v>1316.01</v>
      </c>
      <c r="S159" s="8">
        <v>2326.9899999999998</v>
      </c>
      <c r="T159" s="42">
        <v>0</v>
      </c>
      <c r="U159" s="8">
        <v>1000.72</v>
      </c>
      <c r="V159" s="8">
        <v>4520.05</v>
      </c>
      <c r="W159" s="8">
        <v>6324.97</v>
      </c>
      <c r="X159" s="8">
        <v>8051.51</v>
      </c>
      <c r="Y159" s="8">
        <v>7044.74</v>
      </c>
      <c r="Z159" s="43">
        <v>0</v>
      </c>
      <c r="AA159" s="33">
        <v>0</v>
      </c>
      <c r="AB159" s="42">
        <v>0</v>
      </c>
      <c r="AC159" s="10">
        <v>0</v>
      </c>
      <c r="AD159" s="8">
        <v>1463.66</v>
      </c>
      <c r="AE159" s="8">
        <v>1231.6500000000001</v>
      </c>
      <c r="AF159" s="8">
        <v>3826.23</v>
      </c>
      <c r="AG159" s="33">
        <v>0</v>
      </c>
      <c r="AH159" s="33">
        <v>0</v>
      </c>
      <c r="AI159" s="33">
        <v>0</v>
      </c>
      <c r="AJ159" s="42">
        <v>0</v>
      </c>
      <c r="AK159" s="7">
        <v>0</v>
      </c>
      <c r="AL159" s="7">
        <v>0</v>
      </c>
    </row>
    <row r="161" spans="2:19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7"/>
      <c r="R163" s="7"/>
      <c r="S163" s="7"/>
    </row>
    <row r="164" spans="2:19">
      <c r="B164" s="7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>
      <c r="B166" s="6"/>
      <c r="C166" s="7"/>
      <c r="D166" s="7"/>
      <c r="E166" s="7"/>
      <c r="F166" s="6"/>
      <c r="G166" s="7"/>
      <c r="H166" s="7"/>
      <c r="I166" s="7"/>
      <c r="J166" s="7"/>
      <c r="K166" s="7"/>
      <c r="L166" s="7"/>
      <c r="M166" s="6"/>
      <c r="N166" s="7"/>
      <c r="O166" s="7"/>
      <c r="P166" s="7"/>
      <c r="Q166" s="7"/>
      <c r="R166" s="6"/>
      <c r="S166" s="7"/>
    </row>
    <row r="167" spans="2:19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2:19">
      <c r="B168" s="6"/>
      <c r="C168" s="7"/>
      <c r="D168" s="7"/>
      <c r="E168" s="7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>
      <c r="B169" s="6"/>
      <c r="C169" s="7"/>
      <c r="D169" s="7"/>
      <c r="E169" s="7"/>
      <c r="F169" s="6"/>
      <c r="G169" s="7"/>
      <c r="H169" s="7"/>
      <c r="I169" s="7"/>
      <c r="J169" s="7"/>
      <c r="K169" s="6"/>
      <c r="L169" s="6"/>
      <c r="M169" s="6"/>
      <c r="N169" s="6"/>
      <c r="O169" s="7"/>
      <c r="P169" s="7"/>
      <c r="Q169" s="7"/>
      <c r="R169" s="6"/>
      <c r="S169" s="7"/>
    </row>
    <row r="170" spans="2:19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2:19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2:19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2:19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2:19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2:19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2:19">
      <c r="B176" s="6"/>
      <c r="C176" s="7"/>
      <c r="D176" s="7"/>
      <c r="E176" s="7"/>
      <c r="F176" s="6"/>
      <c r="G176" s="7"/>
      <c r="H176" s="7"/>
      <c r="I176" s="7"/>
      <c r="J176" s="7"/>
      <c r="K176" s="7"/>
      <c r="L176" s="7"/>
      <c r="M176" s="6"/>
      <c r="N176" s="7"/>
      <c r="O176" s="7"/>
      <c r="P176" s="7"/>
      <c r="Q176" s="7"/>
      <c r="R176" s="6"/>
      <c r="S176" s="7"/>
    </row>
    <row r="177" spans="2:19">
      <c r="B177" s="6"/>
      <c r="C177" s="7"/>
      <c r="D177" s="7"/>
      <c r="E177" s="7"/>
      <c r="F177" s="6"/>
      <c r="G177" s="7"/>
      <c r="H177" s="6"/>
      <c r="I177" s="6"/>
      <c r="J177" s="6"/>
      <c r="K177" s="6"/>
      <c r="L177" s="6"/>
      <c r="M177" s="6"/>
      <c r="N177" s="6"/>
      <c r="O177" s="7"/>
      <c r="P177" s="7"/>
      <c r="Q177" s="7"/>
      <c r="R177" s="6"/>
      <c r="S177" s="7"/>
    </row>
    <row r="178" spans="2:19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2:1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2:19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2:19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2:19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2:19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2:19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2:19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2:19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2:19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2:19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2:1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2:19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2:19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6"/>
      <c r="S191" s="7"/>
    </row>
    <row r="192" spans="2:19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2:19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2:19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2:19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2:19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2:19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2:19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</sheetData>
  <mergeCells count="3">
    <mergeCell ref="A57:E57"/>
    <mergeCell ref="A111:E111"/>
    <mergeCell ref="B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8C00-47BB-43BC-9342-52926990538E}">
  <dimension ref="A1:AM109"/>
  <sheetViews>
    <sheetView workbookViewId="0">
      <pane xSplit="1" topLeftCell="Y1" activePane="topRight" state="frozen"/>
      <selection pane="topRight" activeCell="AC25" sqref="AC25"/>
    </sheetView>
  </sheetViews>
  <sheetFormatPr defaultRowHeight="14.25"/>
  <sheetData>
    <row r="1" spans="1:39" ht="15">
      <c r="A1" s="24" t="s">
        <v>1</v>
      </c>
      <c r="B1" s="29">
        <v>3</v>
      </c>
      <c r="C1" s="29">
        <v>4</v>
      </c>
      <c r="D1" s="29">
        <v>5</v>
      </c>
      <c r="E1" s="29">
        <v>6</v>
      </c>
      <c r="F1" s="29">
        <v>7</v>
      </c>
      <c r="G1" s="29">
        <v>8</v>
      </c>
      <c r="H1" s="29">
        <v>9</v>
      </c>
      <c r="I1" s="29">
        <v>14</v>
      </c>
      <c r="J1" s="29">
        <v>17</v>
      </c>
      <c r="K1" s="29">
        <v>18</v>
      </c>
      <c r="L1" s="29">
        <v>19</v>
      </c>
      <c r="M1" s="29">
        <v>21</v>
      </c>
      <c r="N1" s="29">
        <v>22</v>
      </c>
      <c r="O1" s="29">
        <v>23</v>
      </c>
      <c r="P1" s="29">
        <v>25</v>
      </c>
      <c r="Q1" s="29">
        <v>28</v>
      </c>
      <c r="R1" s="29">
        <v>29</v>
      </c>
      <c r="S1" s="29">
        <v>34</v>
      </c>
      <c r="T1" s="34">
        <v>41</v>
      </c>
      <c r="U1" s="29">
        <v>42</v>
      </c>
      <c r="V1" s="29">
        <v>50</v>
      </c>
      <c r="W1" s="29">
        <v>52</v>
      </c>
      <c r="X1" s="29">
        <v>55</v>
      </c>
      <c r="Y1" s="29">
        <v>56</v>
      </c>
      <c r="Z1" s="34">
        <v>64</v>
      </c>
      <c r="AA1" s="34">
        <v>70</v>
      </c>
      <c r="AB1" s="34">
        <v>71</v>
      </c>
      <c r="AC1" s="29">
        <v>72</v>
      </c>
      <c r="AD1" s="29">
        <v>75</v>
      </c>
      <c r="AE1" s="29">
        <v>76</v>
      </c>
      <c r="AF1" s="29">
        <v>77</v>
      </c>
      <c r="AG1" s="34">
        <v>79</v>
      </c>
      <c r="AH1" s="34">
        <v>84</v>
      </c>
      <c r="AI1" s="34">
        <v>86</v>
      </c>
      <c r="AJ1" s="29">
        <v>93</v>
      </c>
      <c r="AK1" s="29">
        <v>96</v>
      </c>
      <c r="AL1" s="4">
        <v>97</v>
      </c>
      <c r="AM1" s="4" t="s">
        <v>2</v>
      </c>
    </row>
    <row r="2" spans="1:39" ht="15">
      <c r="A2" s="1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 spans="1:39" ht="15">
      <c r="A3" s="16">
        <v>44197</v>
      </c>
      <c r="B3" s="27">
        <v>634.6</v>
      </c>
      <c r="C3" s="27">
        <v>600.4</v>
      </c>
      <c r="D3" s="27">
        <v>768.74</v>
      </c>
      <c r="E3" s="27">
        <v>502.17</v>
      </c>
      <c r="F3" s="27">
        <v>648.66</v>
      </c>
      <c r="G3" s="27">
        <v>546.63</v>
      </c>
      <c r="H3" s="27">
        <v>211.28</v>
      </c>
      <c r="I3" s="27">
        <v>311.22000000000003</v>
      </c>
      <c r="J3" s="27">
        <v>518.32000000000005</v>
      </c>
      <c r="K3" s="27">
        <v>437.95</v>
      </c>
      <c r="L3" s="27">
        <v>649.04</v>
      </c>
      <c r="M3" s="27">
        <v>579.12</v>
      </c>
      <c r="N3" s="27">
        <v>1319.74</v>
      </c>
      <c r="O3" s="27">
        <v>1163.75</v>
      </c>
      <c r="P3" s="27">
        <v>557.84</v>
      </c>
      <c r="Q3" s="27">
        <v>322.05</v>
      </c>
      <c r="R3" s="27">
        <v>573.99</v>
      </c>
      <c r="S3" s="27">
        <v>450.3</v>
      </c>
      <c r="T3" s="46">
        <v>0</v>
      </c>
      <c r="U3" s="27">
        <v>254.98</v>
      </c>
      <c r="V3" s="27">
        <v>1319.55</v>
      </c>
      <c r="W3" s="27">
        <v>2720.42</v>
      </c>
      <c r="X3" s="27">
        <v>2794.52</v>
      </c>
      <c r="Y3" s="27">
        <v>2719.85</v>
      </c>
      <c r="Z3" s="27">
        <v>0</v>
      </c>
      <c r="AA3" s="27">
        <v>0</v>
      </c>
      <c r="AB3" s="27">
        <v>0</v>
      </c>
      <c r="AC3" s="27">
        <v>240.16</v>
      </c>
      <c r="AD3" s="27"/>
      <c r="AE3" s="27">
        <v>460.37</v>
      </c>
      <c r="AF3" s="27">
        <v>170.05</v>
      </c>
      <c r="AG3" s="27"/>
      <c r="AH3" s="46">
        <v>0</v>
      </c>
      <c r="AI3" s="46">
        <v>0</v>
      </c>
      <c r="AJ3" s="27">
        <v>53.2</v>
      </c>
      <c r="AK3" s="27">
        <v>382.85</v>
      </c>
    </row>
    <row r="4" spans="1:39" ht="15">
      <c r="A4" s="16">
        <v>44228</v>
      </c>
      <c r="B4" s="27">
        <v>668</v>
      </c>
      <c r="C4" s="27">
        <v>632</v>
      </c>
      <c r="D4" s="27">
        <v>809.2</v>
      </c>
      <c r="E4" s="27">
        <v>528.6</v>
      </c>
      <c r="F4" s="27">
        <v>682.8</v>
      </c>
      <c r="G4" s="27">
        <v>575.4</v>
      </c>
      <c r="H4" s="27">
        <v>222.4</v>
      </c>
      <c r="I4" s="27">
        <v>327.60000000000002</v>
      </c>
      <c r="J4" s="27">
        <v>545.6</v>
      </c>
      <c r="K4" s="27">
        <v>461</v>
      </c>
      <c r="L4" s="27">
        <v>683.2</v>
      </c>
      <c r="M4" s="27">
        <v>609.6</v>
      </c>
      <c r="N4" s="27">
        <v>1389.2</v>
      </c>
      <c r="O4" s="27">
        <v>1225</v>
      </c>
      <c r="P4" s="27">
        <v>587.20000000000005</v>
      </c>
      <c r="Q4" s="27">
        <v>339</v>
      </c>
      <c r="R4" s="27">
        <v>604.20000000000005</v>
      </c>
      <c r="S4" s="27">
        <v>474</v>
      </c>
      <c r="T4" s="46">
        <v>0</v>
      </c>
      <c r="U4" s="27">
        <v>268.39999999999998</v>
      </c>
      <c r="V4" s="27">
        <v>1389</v>
      </c>
      <c r="W4" s="27">
        <v>2863.6</v>
      </c>
      <c r="X4" s="27">
        <v>2941.6</v>
      </c>
      <c r="Y4" s="27">
        <v>2863</v>
      </c>
      <c r="Z4" s="27">
        <v>0</v>
      </c>
      <c r="AA4" s="27">
        <v>0</v>
      </c>
      <c r="AB4" s="27">
        <v>0</v>
      </c>
      <c r="AC4" s="27">
        <v>252.8</v>
      </c>
      <c r="AD4" s="27"/>
      <c r="AE4" s="27">
        <v>484.6</v>
      </c>
      <c r="AF4" s="27">
        <v>179</v>
      </c>
      <c r="AG4" s="27"/>
      <c r="AH4" s="46">
        <v>0</v>
      </c>
      <c r="AI4" s="46">
        <v>0</v>
      </c>
      <c r="AJ4" s="27">
        <v>56</v>
      </c>
      <c r="AK4" s="27">
        <v>403</v>
      </c>
    </row>
    <row r="5" spans="1:39" ht="15">
      <c r="A5" s="16">
        <v>44256</v>
      </c>
      <c r="B5" s="27">
        <v>768.2</v>
      </c>
      <c r="C5" s="27">
        <v>726.8</v>
      </c>
      <c r="D5" s="27">
        <v>930.58</v>
      </c>
      <c r="E5" s="27">
        <v>607.89</v>
      </c>
      <c r="F5" s="27">
        <v>785.22</v>
      </c>
      <c r="G5" s="27">
        <v>661.71</v>
      </c>
      <c r="H5" s="27">
        <v>255.76</v>
      </c>
      <c r="I5" s="27">
        <v>376.74</v>
      </c>
      <c r="J5" s="27">
        <v>627.44000000000005</v>
      </c>
      <c r="K5" s="27">
        <v>530.15</v>
      </c>
      <c r="L5" s="27">
        <v>785.68</v>
      </c>
      <c r="M5" s="27">
        <v>701.04</v>
      </c>
      <c r="N5" s="27">
        <v>1614.14</v>
      </c>
      <c r="O5" s="27">
        <v>1408.75</v>
      </c>
      <c r="P5" s="27">
        <v>675.28</v>
      </c>
      <c r="Q5" s="27">
        <v>389.85</v>
      </c>
      <c r="R5" s="27">
        <v>694.83</v>
      </c>
      <c r="S5" s="27">
        <v>545.1</v>
      </c>
      <c r="T5" s="46">
        <v>0</v>
      </c>
      <c r="U5" s="27">
        <v>308.66000000000003</v>
      </c>
      <c r="V5" s="27">
        <v>1616.97</v>
      </c>
      <c r="W5" s="27">
        <v>3293.14</v>
      </c>
      <c r="X5" s="27">
        <v>3397.06</v>
      </c>
      <c r="Y5" s="27">
        <v>3314.95</v>
      </c>
      <c r="Z5" s="27">
        <v>0</v>
      </c>
      <c r="AA5" s="27">
        <v>0</v>
      </c>
      <c r="AB5" s="27">
        <v>0</v>
      </c>
      <c r="AC5" s="27">
        <v>290.72000000000003</v>
      </c>
      <c r="AD5" s="27"/>
      <c r="AE5" s="27">
        <v>557.29</v>
      </c>
      <c r="AF5" s="27">
        <v>205.85</v>
      </c>
      <c r="AG5" s="27"/>
      <c r="AH5" s="46">
        <v>0</v>
      </c>
      <c r="AI5" s="46">
        <v>0</v>
      </c>
      <c r="AJ5" s="27">
        <v>64.400000000000006</v>
      </c>
      <c r="AK5" s="27">
        <v>463.45</v>
      </c>
    </row>
    <row r="6" spans="1:39" ht="15">
      <c r="A6" s="16">
        <v>44287</v>
      </c>
      <c r="B6" s="27">
        <v>952.6</v>
      </c>
      <c r="C6" s="27">
        <v>917.95</v>
      </c>
      <c r="D6" s="27">
        <v>1161.47</v>
      </c>
      <c r="E6" s="27">
        <v>722.01</v>
      </c>
      <c r="F6" s="27">
        <v>1303.98</v>
      </c>
      <c r="G6" s="27">
        <v>663.39</v>
      </c>
      <c r="H6" s="27">
        <v>244.34</v>
      </c>
      <c r="I6" s="27">
        <v>386.16</v>
      </c>
      <c r="J6" s="27">
        <v>663.76</v>
      </c>
      <c r="K6" s="27">
        <v>611.79999999999995</v>
      </c>
      <c r="L6" s="27">
        <v>798.77</v>
      </c>
      <c r="M6" s="27">
        <v>470.61</v>
      </c>
      <c r="N6" s="27">
        <v>1588.09</v>
      </c>
      <c r="O6" s="27">
        <v>2051.75</v>
      </c>
      <c r="P6" s="27">
        <v>485.42</v>
      </c>
      <c r="Q6" s="27">
        <v>387.9</v>
      </c>
      <c r="R6" s="27">
        <v>676.02</v>
      </c>
      <c r="S6" s="27">
        <v>417.9</v>
      </c>
      <c r="T6" s="27">
        <v>77.25</v>
      </c>
      <c r="U6" s="27">
        <v>308.58999999999997</v>
      </c>
      <c r="V6" s="27">
        <v>1595.79</v>
      </c>
      <c r="W6" s="27">
        <v>3274.76</v>
      </c>
      <c r="X6" s="27">
        <v>3806.6</v>
      </c>
      <c r="Y6" s="27">
        <v>3614.9</v>
      </c>
      <c r="Z6" s="27">
        <v>0</v>
      </c>
      <c r="AA6" s="27">
        <v>0</v>
      </c>
      <c r="AB6" s="27">
        <v>0</v>
      </c>
      <c r="AC6" s="27">
        <v>88.48</v>
      </c>
      <c r="AD6" s="27"/>
      <c r="AE6" s="27">
        <v>524.05999999999995</v>
      </c>
      <c r="AF6" s="27">
        <v>384.55</v>
      </c>
      <c r="AG6" s="27"/>
      <c r="AH6" s="27">
        <v>360.45</v>
      </c>
      <c r="AI6" s="27">
        <v>76.95</v>
      </c>
      <c r="AJ6" s="27">
        <v>61</v>
      </c>
      <c r="AK6" s="27">
        <v>141.05000000000001</v>
      </c>
    </row>
    <row r="7" spans="1:39" ht="15">
      <c r="A7" s="16">
        <v>44317</v>
      </c>
      <c r="B7" s="27">
        <v>958.4</v>
      </c>
      <c r="C7" s="27">
        <v>929</v>
      </c>
      <c r="D7" s="27">
        <v>1171</v>
      </c>
      <c r="E7" s="27">
        <v>716</v>
      </c>
      <c r="F7" s="27">
        <v>1416.36</v>
      </c>
      <c r="G7" s="27">
        <v>616</v>
      </c>
      <c r="H7" s="27">
        <v>222</v>
      </c>
      <c r="I7" s="27">
        <v>362</v>
      </c>
      <c r="J7" s="27">
        <v>630.4</v>
      </c>
      <c r="K7" s="27">
        <v>600.6</v>
      </c>
      <c r="L7" s="27">
        <v>742.6</v>
      </c>
      <c r="M7" s="27">
        <v>343</v>
      </c>
      <c r="N7" s="27">
        <v>1460.12</v>
      </c>
      <c r="O7" s="27">
        <v>2164</v>
      </c>
      <c r="P7" s="27">
        <v>373.2</v>
      </c>
      <c r="Q7" s="27">
        <v>359</v>
      </c>
      <c r="R7" s="27">
        <v>619.4</v>
      </c>
      <c r="S7" s="27">
        <v>336</v>
      </c>
      <c r="T7" s="27">
        <v>103</v>
      </c>
      <c r="U7" s="27">
        <v>286.2</v>
      </c>
      <c r="V7" s="27">
        <v>1465.03</v>
      </c>
      <c r="W7" s="27">
        <v>3030</v>
      </c>
      <c r="X7" s="27">
        <v>3692.74</v>
      </c>
      <c r="Y7" s="27">
        <v>3470.05</v>
      </c>
      <c r="Z7" s="27">
        <v>0</v>
      </c>
      <c r="AA7" s="27">
        <v>0</v>
      </c>
      <c r="AB7" s="27">
        <v>0</v>
      </c>
      <c r="AC7" s="27">
        <v>0</v>
      </c>
      <c r="AD7" s="27"/>
      <c r="AE7" s="27">
        <v>472.6</v>
      </c>
      <c r="AF7" s="27">
        <v>429.2</v>
      </c>
      <c r="AG7" s="27"/>
      <c r="AH7" s="27">
        <v>480.6</v>
      </c>
      <c r="AI7" s="27">
        <v>102.6</v>
      </c>
      <c r="AJ7" s="27">
        <v>55.2</v>
      </c>
      <c r="AK7" s="27">
        <v>0</v>
      </c>
    </row>
    <row r="8" spans="1:39" ht="15">
      <c r="A8" s="16">
        <v>44348</v>
      </c>
      <c r="B8" s="27">
        <v>1054.24</v>
      </c>
      <c r="C8" s="27">
        <v>1021.9</v>
      </c>
      <c r="D8" s="27">
        <v>1288.0999999999999</v>
      </c>
      <c r="E8" s="27">
        <v>787.6</v>
      </c>
      <c r="F8" s="27">
        <v>1541.98</v>
      </c>
      <c r="G8" s="27">
        <v>677.6</v>
      </c>
      <c r="H8" s="27">
        <v>244.2</v>
      </c>
      <c r="I8" s="27">
        <v>398.2</v>
      </c>
      <c r="J8" s="27">
        <v>693.44</v>
      </c>
      <c r="K8" s="27">
        <v>660.66</v>
      </c>
      <c r="L8" s="27">
        <v>794.42</v>
      </c>
      <c r="M8" s="27">
        <v>377.3</v>
      </c>
      <c r="N8" s="27">
        <v>1598.74</v>
      </c>
      <c r="O8" s="27">
        <v>2380.4</v>
      </c>
      <c r="P8" s="27">
        <v>410.52</v>
      </c>
      <c r="Q8" s="27">
        <v>394.9</v>
      </c>
      <c r="R8" s="27">
        <v>681.34</v>
      </c>
      <c r="S8" s="27">
        <v>369.6</v>
      </c>
      <c r="T8" s="27">
        <v>113.3</v>
      </c>
      <c r="U8" s="27">
        <v>314.82</v>
      </c>
      <c r="V8" s="27">
        <v>1583.56</v>
      </c>
      <c r="W8" s="27">
        <v>3333</v>
      </c>
      <c r="X8" s="27">
        <v>4043.6</v>
      </c>
      <c r="Y8" s="27">
        <v>3799.18</v>
      </c>
      <c r="Z8" s="27">
        <v>0</v>
      </c>
      <c r="AA8" s="27">
        <v>0</v>
      </c>
      <c r="AB8" s="27">
        <v>0</v>
      </c>
      <c r="AC8" s="27">
        <v>0</v>
      </c>
      <c r="AD8" s="27"/>
      <c r="AE8" s="27">
        <v>519.86</v>
      </c>
      <c r="AF8" s="27">
        <v>472.12</v>
      </c>
      <c r="AG8" s="27"/>
      <c r="AH8" s="27">
        <v>528.66</v>
      </c>
      <c r="AI8" s="27">
        <v>112.86</v>
      </c>
      <c r="AJ8" s="27">
        <v>60.72</v>
      </c>
      <c r="AK8" s="27">
        <v>0</v>
      </c>
    </row>
    <row r="9" spans="1:39" ht="15">
      <c r="A9" s="16">
        <v>44378</v>
      </c>
      <c r="B9" s="27">
        <v>1006.32</v>
      </c>
      <c r="C9" s="27">
        <v>975.45</v>
      </c>
      <c r="D9" s="27">
        <v>1229.55</v>
      </c>
      <c r="E9" s="27">
        <v>751.8</v>
      </c>
      <c r="F9" s="27">
        <v>1471.89</v>
      </c>
      <c r="G9" s="27">
        <v>646.79999999999995</v>
      </c>
      <c r="H9" s="27">
        <v>233.1</v>
      </c>
      <c r="I9" s="27">
        <v>380.1</v>
      </c>
      <c r="J9" s="27">
        <v>661.92</v>
      </c>
      <c r="K9" s="27">
        <v>630.63</v>
      </c>
      <c r="L9" s="27">
        <v>758.31</v>
      </c>
      <c r="M9" s="27">
        <v>360.15</v>
      </c>
      <c r="N9" s="27">
        <v>1526.07</v>
      </c>
      <c r="O9" s="27">
        <v>2272.1999999999998</v>
      </c>
      <c r="P9" s="27">
        <v>391.86</v>
      </c>
      <c r="Q9" s="27">
        <v>376.95</v>
      </c>
      <c r="R9" s="27">
        <v>650.37</v>
      </c>
      <c r="S9" s="27">
        <v>352.8</v>
      </c>
      <c r="T9" s="27">
        <v>108.15</v>
      </c>
      <c r="U9" s="27">
        <v>300.51</v>
      </c>
      <c r="V9" s="27">
        <v>1511.58</v>
      </c>
      <c r="W9" s="27">
        <v>3181.5</v>
      </c>
      <c r="X9" s="27">
        <v>3859.8</v>
      </c>
      <c r="Y9" s="27">
        <v>3626.49</v>
      </c>
      <c r="Z9" s="27">
        <v>0</v>
      </c>
      <c r="AA9" s="27">
        <v>0</v>
      </c>
      <c r="AB9" s="27">
        <v>0</v>
      </c>
      <c r="AC9" s="27">
        <v>0</v>
      </c>
      <c r="AD9" s="27"/>
      <c r="AE9" s="27">
        <v>496.23</v>
      </c>
      <c r="AF9" s="27">
        <v>450.66</v>
      </c>
      <c r="AG9" s="27"/>
      <c r="AH9" s="27">
        <v>504.63</v>
      </c>
      <c r="AI9" s="27">
        <v>107.73</v>
      </c>
      <c r="AJ9" s="27">
        <v>57.96</v>
      </c>
      <c r="AK9" s="27">
        <v>0</v>
      </c>
    </row>
    <row r="10" spans="1:39" ht="15">
      <c r="A10" s="16">
        <v>44409</v>
      </c>
      <c r="B10" s="27">
        <v>1054.24</v>
      </c>
      <c r="C10" s="27">
        <v>1021.9</v>
      </c>
      <c r="D10" s="27">
        <v>1288.0999999999999</v>
      </c>
      <c r="E10" s="27">
        <v>787.6</v>
      </c>
      <c r="F10" s="27">
        <v>1556.54</v>
      </c>
      <c r="G10" s="27">
        <v>677.6</v>
      </c>
      <c r="H10" s="27">
        <v>244.2</v>
      </c>
      <c r="I10" s="27">
        <v>398.2</v>
      </c>
      <c r="J10" s="27">
        <v>693.44</v>
      </c>
      <c r="K10" s="27">
        <v>660.66</v>
      </c>
      <c r="L10" s="27">
        <v>813.62</v>
      </c>
      <c r="M10" s="27">
        <v>377.3</v>
      </c>
      <c r="N10" s="27">
        <v>1605.46</v>
      </c>
      <c r="O10" s="27">
        <v>2380.4</v>
      </c>
      <c r="P10" s="27">
        <v>410.52</v>
      </c>
      <c r="Q10" s="27">
        <v>394.9</v>
      </c>
      <c r="R10" s="27">
        <v>681.34</v>
      </c>
      <c r="S10" s="27">
        <v>369.6</v>
      </c>
      <c r="T10" s="27">
        <v>113.3</v>
      </c>
      <c r="U10" s="27">
        <v>314.82</v>
      </c>
      <c r="V10" s="27">
        <v>1608.52</v>
      </c>
      <c r="W10" s="27">
        <v>3333</v>
      </c>
      <c r="X10" s="27">
        <v>4059.92</v>
      </c>
      <c r="Y10" s="27">
        <v>3815.18</v>
      </c>
      <c r="Z10" s="27">
        <v>0</v>
      </c>
      <c r="AA10" s="27">
        <v>0</v>
      </c>
      <c r="AB10" s="27">
        <v>0</v>
      </c>
      <c r="AC10" s="27">
        <v>0</v>
      </c>
      <c r="AD10" s="27"/>
      <c r="AE10" s="27">
        <v>519.86</v>
      </c>
      <c r="AF10" s="27">
        <v>472.12</v>
      </c>
      <c r="AG10" s="27"/>
      <c r="AH10" s="27">
        <v>528.66</v>
      </c>
      <c r="AI10" s="27">
        <v>112.86</v>
      </c>
      <c r="AJ10" s="27">
        <v>60.72</v>
      </c>
      <c r="AK10" s="27">
        <v>0</v>
      </c>
    </row>
    <row r="11" spans="1:39" ht="15">
      <c r="A11" s="16">
        <v>44440</v>
      </c>
      <c r="B11" s="27">
        <v>1006.32</v>
      </c>
      <c r="C11" s="27">
        <v>975.45</v>
      </c>
      <c r="D11" s="27">
        <v>1229.55</v>
      </c>
      <c r="E11" s="27">
        <v>751.8</v>
      </c>
      <c r="F11" s="27">
        <v>1491</v>
      </c>
      <c r="G11" s="27">
        <v>646.79999999999995</v>
      </c>
      <c r="H11" s="27">
        <v>233.1</v>
      </c>
      <c r="I11" s="27">
        <v>380.1</v>
      </c>
      <c r="J11" s="27">
        <v>661.92</v>
      </c>
      <c r="K11" s="27">
        <v>630.63</v>
      </c>
      <c r="L11" s="27">
        <v>783.51</v>
      </c>
      <c r="M11" s="27">
        <v>360.15</v>
      </c>
      <c r="N11" s="27">
        <v>1534.89</v>
      </c>
      <c r="O11" s="27">
        <v>2272.1999999999998</v>
      </c>
      <c r="P11" s="27">
        <v>391.86</v>
      </c>
      <c r="Q11" s="27">
        <v>376.95</v>
      </c>
      <c r="R11" s="27">
        <v>650.37</v>
      </c>
      <c r="S11" s="27">
        <v>352.8</v>
      </c>
      <c r="T11" s="27">
        <v>108.15</v>
      </c>
      <c r="U11" s="27">
        <v>300.51</v>
      </c>
      <c r="V11" s="27">
        <v>1544.34</v>
      </c>
      <c r="W11" s="27">
        <v>3181.5</v>
      </c>
      <c r="X11" s="27">
        <v>3881.22</v>
      </c>
      <c r="Y11" s="27">
        <v>3647.49</v>
      </c>
      <c r="Z11" s="27">
        <v>0</v>
      </c>
      <c r="AA11" s="27">
        <v>0</v>
      </c>
      <c r="AB11" s="27">
        <v>0</v>
      </c>
      <c r="AC11" s="27">
        <v>0</v>
      </c>
      <c r="AD11" s="27"/>
      <c r="AE11" s="27">
        <v>496.23</v>
      </c>
      <c r="AF11" s="27">
        <v>450.66</v>
      </c>
      <c r="AG11" s="27"/>
      <c r="AH11" s="27">
        <v>504.63</v>
      </c>
      <c r="AI11" s="27">
        <v>107.73</v>
      </c>
      <c r="AJ11" s="27">
        <v>57.96</v>
      </c>
      <c r="AK11" s="27">
        <v>0</v>
      </c>
    </row>
    <row r="12" spans="1:39" ht="15">
      <c r="A12" s="16">
        <v>44470</v>
      </c>
      <c r="B12" s="27">
        <v>1122.92</v>
      </c>
      <c r="C12" s="27">
        <v>996.79</v>
      </c>
      <c r="D12" s="27">
        <v>1459.95</v>
      </c>
      <c r="E12" s="27">
        <v>814.2</v>
      </c>
      <c r="F12" s="27">
        <v>1444.62</v>
      </c>
      <c r="G12" s="27">
        <v>763</v>
      </c>
      <c r="H12" s="27">
        <v>443.1</v>
      </c>
      <c r="I12" s="27">
        <v>379.5</v>
      </c>
      <c r="J12" s="27">
        <v>661.72</v>
      </c>
      <c r="K12" s="27">
        <v>639.42999999999995</v>
      </c>
      <c r="L12" s="27">
        <v>762.51</v>
      </c>
      <c r="M12" s="27">
        <v>358.75</v>
      </c>
      <c r="N12" s="27">
        <v>1556.23</v>
      </c>
      <c r="O12" s="27">
        <v>2328.2399999999998</v>
      </c>
      <c r="P12" s="27">
        <v>392.26</v>
      </c>
      <c r="Q12" s="27">
        <v>376.95</v>
      </c>
      <c r="R12" s="27">
        <v>650.37</v>
      </c>
      <c r="S12" s="27">
        <v>352.8</v>
      </c>
      <c r="T12" s="27">
        <v>107.95</v>
      </c>
      <c r="U12" s="27">
        <v>341.71</v>
      </c>
      <c r="V12" s="27">
        <v>2016.82</v>
      </c>
      <c r="W12" s="27">
        <v>3200.1</v>
      </c>
      <c r="X12" s="27">
        <v>3926.82</v>
      </c>
      <c r="Y12" s="27">
        <v>3649.43</v>
      </c>
      <c r="Z12" s="27">
        <v>63.4</v>
      </c>
      <c r="AA12" s="27">
        <v>0</v>
      </c>
      <c r="AB12" s="27">
        <v>0</v>
      </c>
      <c r="AC12" s="27">
        <v>0</v>
      </c>
      <c r="AD12" s="27"/>
      <c r="AE12" s="27">
        <v>503.23</v>
      </c>
      <c r="AF12" s="27">
        <v>446.26</v>
      </c>
      <c r="AG12" s="27"/>
      <c r="AH12" s="27">
        <v>687.73</v>
      </c>
      <c r="AI12" s="27">
        <v>161.41</v>
      </c>
      <c r="AJ12" s="27">
        <v>83.36</v>
      </c>
      <c r="AK12" s="27">
        <v>0</v>
      </c>
    </row>
    <row r="13" spans="1:39" ht="15">
      <c r="A13" s="16">
        <v>44501</v>
      </c>
      <c r="B13" s="27">
        <v>1128.75</v>
      </c>
      <c r="C13" s="27">
        <v>997.89</v>
      </c>
      <c r="D13" s="27">
        <v>1471.47</v>
      </c>
      <c r="E13" s="27">
        <v>817.32</v>
      </c>
      <c r="F13" s="27">
        <v>1445.04</v>
      </c>
      <c r="G13" s="27">
        <v>768.81</v>
      </c>
      <c r="H13" s="27">
        <v>453.6</v>
      </c>
      <c r="I13" s="27">
        <v>379.47</v>
      </c>
      <c r="J13" s="27">
        <v>661.71</v>
      </c>
      <c r="K13" s="27">
        <v>639.87</v>
      </c>
      <c r="L13" s="27">
        <v>761.46</v>
      </c>
      <c r="M13" s="27">
        <v>358.68</v>
      </c>
      <c r="N13" s="27">
        <v>1559.64</v>
      </c>
      <c r="O13" s="27">
        <v>2335.1999999999998</v>
      </c>
      <c r="P13" s="27">
        <v>392.28</v>
      </c>
      <c r="Q13" s="27">
        <v>376.95</v>
      </c>
      <c r="R13" s="27">
        <v>650.37</v>
      </c>
      <c r="S13" s="27">
        <v>352.8</v>
      </c>
      <c r="T13" s="27">
        <v>107.94</v>
      </c>
      <c r="U13" s="27">
        <v>343.77</v>
      </c>
      <c r="V13" s="27">
        <v>2046.12</v>
      </c>
      <c r="W13" s="27">
        <v>3201.03</v>
      </c>
      <c r="X13" s="27">
        <v>3934.38</v>
      </c>
      <c r="Y13" s="27">
        <v>3652.53</v>
      </c>
      <c r="Z13" s="27">
        <v>66.569999999999993</v>
      </c>
      <c r="AA13" s="27">
        <v>0</v>
      </c>
      <c r="AB13" s="27">
        <v>0</v>
      </c>
      <c r="AC13" s="27">
        <v>0</v>
      </c>
      <c r="AD13" s="27"/>
      <c r="AE13" s="27">
        <v>503.58</v>
      </c>
      <c r="AF13" s="27">
        <v>446.04</v>
      </c>
      <c r="AG13" s="27"/>
      <c r="AH13" s="27">
        <v>697.05</v>
      </c>
      <c r="AI13" s="27">
        <v>164.49</v>
      </c>
      <c r="AJ13" s="27">
        <v>84.63</v>
      </c>
      <c r="AK13" s="27">
        <v>0</v>
      </c>
    </row>
    <row r="14" spans="1:39" ht="15">
      <c r="A14" s="16">
        <v>44531</v>
      </c>
      <c r="B14" s="27">
        <v>1128.75</v>
      </c>
      <c r="C14" s="27">
        <v>997.83</v>
      </c>
      <c r="D14" s="27">
        <v>1471.47</v>
      </c>
      <c r="E14" s="27">
        <v>817.32</v>
      </c>
      <c r="F14" s="27">
        <v>1440.06</v>
      </c>
      <c r="G14" s="27">
        <v>768.82</v>
      </c>
      <c r="H14" s="27">
        <v>453.6</v>
      </c>
      <c r="I14" s="27">
        <v>379.47</v>
      </c>
      <c r="J14" s="27">
        <v>661.71</v>
      </c>
      <c r="K14" s="27">
        <v>639.87</v>
      </c>
      <c r="L14" s="27">
        <v>761.46</v>
      </c>
      <c r="M14" s="27">
        <v>358.68</v>
      </c>
      <c r="N14" s="27">
        <v>1555.38</v>
      </c>
      <c r="O14" s="27">
        <v>2327.64</v>
      </c>
      <c r="P14" s="27">
        <v>392.28</v>
      </c>
      <c r="Q14" s="27">
        <v>376.95</v>
      </c>
      <c r="R14" s="27">
        <v>650.37</v>
      </c>
      <c r="S14" s="27">
        <v>352.8</v>
      </c>
      <c r="T14" s="27">
        <v>107.94</v>
      </c>
      <c r="U14" s="27">
        <v>343.77</v>
      </c>
      <c r="V14" s="27">
        <v>2036.57</v>
      </c>
      <c r="W14" s="27">
        <v>3201.03</v>
      </c>
      <c r="X14" s="27">
        <v>3925.33</v>
      </c>
      <c r="Y14" s="27">
        <v>3647.57</v>
      </c>
      <c r="Z14" s="27">
        <v>66.569999999999993</v>
      </c>
      <c r="AA14" s="27">
        <v>0</v>
      </c>
      <c r="AB14" s="27">
        <v>0</v>
      </c>
      <c r="AC14" s="27">
        <v>0</v>
      </c>
      <c r="AD14" s="27"/>
      <c r="AE14" s="27">
        <v>503.58</v>
      </c>
      <c r="AF14" s="27">
        <v>446.04</v>
      </c>
      <c r="AG14" s="27"/>
      <c r="AH14" s="27">
        <v>696.75</v>
      </c>
      <c r="AI14" s="27">
        <v>163.77000000000001</v>
      </c>
      <c r="AJ14" s="27">
        <v>84.63</v>
      </c>
      <c r="AK14" s="27">
        <v>0</v>
      </c>
    </row>
    <row r="15" spans="1:39" ht="15">
      <c r="A15" s="16">
        <v>44562</v>
      </c>
      <c r="B15" s="27">
        <v>1075</v>
      </c>
      <c r="C15" s="27">
        <v>950.34</v>
      </c>
      <c r="D15" s="27">
        <v>1401.4</v>
      </c>
      <c r="E15" s="27">
        <v>778.4</v>
      </c>
      <c r="F15" s="27">
        <v>1373.62</v>
      </c>
      <c r="G15" s="27">
        <v>732.21</v>
      </c>
      <c r="H15" s="27">
        <v>432</v>
      </c>
      <c r="I15" s="27">
        <v>361.4</v>
      </c>
      <c r="J15" s="27">
        <v>630.20000000000005</v>
      </c>
      <c r="K15" s="27">
        <v>609.4</v>
      </c>
      <c r="L15" s="27">
        <v>725.2</v>
      </c>
      <c r="M15" s="27">
        <v>341.6</v>
      </c>
      <c r="N15" s="27">
        <v>1483.14</v>
      </c>
      <c r="O15" s="27">
        <v>2220.04</v>
      </c>
      <c r="P15" s="27">
        <v>373.6</v>
      </c>
      <c r="Q15" s="27">
        <v>359</v>
      </c>
      <c r="R15" s="27">
        <v>619.4</v>
      </c>
      <c r="S15" s="27">
        <v>336</v>
      </c>
      <c r="T15" s="27">
        <v>102.8</v>
      </c>
      <c r="U15" s="27">
        <v>327.39999999999998</v>
      </c>
      <c r="V15" s="27">
        <v>1944.05</v>
      </c>
      <c r="W15" s="27">
        <v>3048.6</v>
      </c>
      <c r="X15" s="27">
        <v>3742.55</v>
      </c>
      <c r="Y15" s="27">
        <v>3476.24</v>
      </c>
      <c r="Z15" s="27">
        <v>63.4</v>
      </c>
      <c r="AA15" s="27">
        <v>0</v>
      </c>
      <c r="AB15" s="27">
        <v>0</v>
      </c>
      <c r="AC15" s="27">
        <v>0</v>
      </c>
      <c r="AD15" s="27"/>
      <c r="AE15" s="27">
        <v>479.6</v>
      </c>
      <c r="AF15" s="27">
        <v>424.8</v>
      </c>
      <c r="AG15" s="27"/>
      <c r="AH15" s="27">
        <v>663.7</v>
      </c>
      <c r="AI15" s="27">
        <v>156.28</v>
      </c>
      <c r="AJ15" s="27">
        <v>80.599999999999994</v>
      </c>
      <c r="AK15" s="27">
        <v>0</v>
      </c>
    </row>
    <row r="16" spans="1:39" ht="15">
      <c r="A16" s="16">
        <v>44593</v>
      </c>
      <c r="B16" s="27">
        <v>1075</v>
      </c>
      <c r="C16" s="27">
        <v>950.39</v>
      </c>
      <c r="D16" s="27">
        <v>1401.4</v>
      </c>
      <c r="E16" s="27">
        <v>778.4</v>
      </c>
      <c r="F16" s="27">
        <v>1377.77</v>
      </c>
      <c r="G16" s="27">
        <v>732.2</v>
      </c>
      <c r="H16" s="27">
        <v>432</v>
      </c>
      <c r="I16" s="27">
        <v>361.4</v>
      </c>
      <c r="J16" s="27">
        <v>630.20000000000005</v>
      </c>
      <c r="K16" s="27">
        <v>609.4</v>
      </c>
      <c r="L16" s="27">
        <v>725.2</v>
      </c>
      <c r="M16" s="27">
        <v>341.6</v>
      </c>
      <c r="N16" s="27">
        <v>1486.69</v>
      </c>
      <c r="O16" s="27">
        <v>2226.34</v>
      </c>
      <c r="P16" s="27">
        <v>373.6</v>
      </c>
      <c r="Q16" s="27">
        <v>359</v>
      </c>
      <c r="R16" s="27">
        <v>619.4</v>
      </c>
      <c r="S16" s="27">
        <v>336</v>
      </c>
      <c r="T16" s="27">
        <v>102.8</v>
      </c>
      <c r="U16" s="27">
        <v>327.39999999999998</v>
      </c>
      <c r="V16" s="27">
        <v>1951.88</v>
      </c>
      <c r="W16" s="27">
        <v>3048.6</v>
      </c>
      <c r="X16" s="27">
        <v>3750</v>
      </c>
      <c r="Y16" s="27">
        <v>3480.29</v>
      </c>
      <c r="Z16" s="27">
        <v>63.4</v>
      </c>
      <c r="AA16" s="27">
        <v>0</v>
      </c>
      <c r="AB16" s="27">
        <v>0</v>
      </c>
      <c r="AC16" s="27">
        <v>0</v>
      </c>
      <c r="AD16" s="27"/>
      <c r="AE16" s="27">
        <v>479.6</v>
      </c>
      <c r="AF16" s="27">
        <v>424.8</v>
      </c>
      <c r="AG16" s="27"/>
      <c r="AH16" s="27">
        <v>663.95</v>
      </c>
      <c r="AI16" s="27">
        <v>156.88</v>
      </c>
      <c r="AJ16" s="27">
        <v>80.599999999999994</v>
      </c>
      <c r="AK16" s="27">
        <v>0</v>
      </c>
    </row>
    <row r="17" spans="1:37" ht="15">
      <c r="A17" s="16">
        <v>44621</v>
      </c>
      <c r="B17" s="27">
        <v>1236.25</v>
      </c>
      <c r="C17" s="27">
        <v>1092.9000000000001</v>
      </c>
      <c r="D17" s="27">
        <v>1611.61</v>
      </c>
      <c r="E17" s="27">
        <v>895.16</v>
      </c>
      <c r="F17" s="27">
        <v>1580.41</v>
      </c>
      <c r="G17" s="27">
        <v>842.04</v>
      </c>
      <c r="H17" s="27">
        <v>496.8</v>
      </c>
      <c r="I17" s="27">
        <v>415.61</v>
      </c>
      <c r="J17" s="27">
        <v>724.73</v>
      </c>
      <c r="K17" s="27">
        <v>700.81</v>
      </c>
      <c r="L17" s="27">
        <v>833.98</v>
      </c>
      <c r="M17" s="27">
        <v>392.84</v>
      </c>
      <c r="N17" s="27">
        <v>1706.25</v>
      </c>
      <c r="O17" s="27">
        <v>2554.7800000000002</v>
      </c>
      <c r="P17" s="27">
        <v>429.64</v>
      </c>
      <c r="Q17" s="27">
        <v>412.85</v>
      </c>
      <c r="R17" s="27">
        <v>712.31</v>
      </c>
      <c r="S17" s="27">
        <v>386.4</v>
      </c>
      <c r="T17" s="27">
        <v>118.22</v>
      </c>
      <c r="U17" s="27">
        <v>376.51</v>
      </c>
      <c r="V17" s="27">
        <v>2237.56</v>
      </c>
      <c r="W17" s="27">
        <v>3505.89</v>
      </c>
      <c r="X17" s="27">
        <v>4305.71</v>
      </c>
      <c r="Y17" s="27">
        <v>3998.67</v>
      </c>
      <c r="Z17" s="27">
        <v>72.91</v>
      </c>
      <c r="AA17" s="27">
        <v>0</v>
      </c>
      <c r="AB17" s="27">
        <v>0</v>
      </c>
      <c r="AC17" s="27">
        <v>0</v>
      </c>
      <c r="AD17" s="27"/>
      <c r="AE17" s="27">
        <v>551.54</v>
      </c>
      <c r="AF17" s="27">
        <v>488.52</v>
      </c>
      <c r="AG17" s="27"/>
      <c r="AH17" s="27">
        <v>763.35</v>
      </c>
      <c r="AI17" s="27">
        <v>179.95</v>
      </c>
      <c r="AJ17" s="27">
        <v>92.69</v>
      </c>
      <c r="AK17" s="27">
        <v>0</v>
      </c>
    </row>
    <row r="18" spans="1:37" ht="15">
      <c r="A18" s="16">
        <v>44652</v>
      </c>
      <c r="B18" s="27">
        <v>2702.95</v>
      </c>
      <c r="C18" s="27">
        <v>998.31</v>
      </c>
      <c r="D18" s="27">
        <v>70.069999999999993</v>
      </c>
      <c r="E18" s="27">
        <v>1044.92</v>
      </c>
      <c r="F18" s="27">
        <v>1518.35</v>
      </c>
      <c r="G18" s="27">
        <v>803.61</v>
      </c>
      <c r="H18" s="27">
        <v>459.4</v>
      </c>
      <c r="I18" s="27">
        <v>487.07</v>
      </c>
      <c r="J18" s="27">
        <v>943.11</v>
      </c>
      <c r="K18" s="27">
        <v>639.87</v>
      </c>
      <c r="L18" s="27">
        <v>1099.26</v>
      </c>
      <c r="M18" s="27">
        <v>17.079999999999998</v>
      </c>
      <c r="N18" s="27">
        <v>1579.67</v>
      </c>
      <c r="O18" s="27">
        <v>2343.1799999999998</v>
      </c>
      <c r="P18" s="27">
        <v>18.68</v>
      </c>
      <c r="Q18" s="27">
        <v>483.15</v>
      </c>
      <c r="R18" s="27">
        <v>790.17</v>
      </c>
      <c r="S18" s="27">
        <v>351.2</v>
      </c>
      <c r="T18" s="27">
        <v>107.34</v>
      </c>
      <c r="U18" s="27">
        <v>435.97</v>
      </c>
      <c r="V18" s="27">
        <v>2074.06</v>
      </c>
      <c r="W18" s="27">
        <v>3235.03</v>
      </c>
      <c r="X18" s="27">
        <v>3971.98</v>
      </c>
      <c r="Y18" s="27">
        <v>3687.36</v>
      </c>
      <c r="Z18" s="27">
        <v>66.569999999999993</v>
      </c>
      <c r="AA18" s="27">
        <v>0</v>
      </c>
      <c r="AB18" s="27">
        <v>0</v>
      </c>
      <c r="AC18" s="27">
        <v>0</v>
      </c>
      <c r="AD18" s="27">
        <v>373</v>
      </c>
      <c r="AE18" s="27">
        <v>383.78</v>
      </c>
      <c r="AF18" s="27">
        <v>809.84</v>
      </c>
      <c r="AG18" s="27">
        <v>537.79999999999995</v>
      </c>
      <c r="AH18" s="27">
        <v>690.95</v>
      </c>
      <c r="AI18" s="27">
        <v>164.73</v>
      </c>
      <c r="AJ18" s="27">
        <v>83.43</v>
      </c>
      <c r="AK18" s="27">
        <v>0</v>
      </c>
    </row>
    <row r="19" spans="1:37" ht="15">
      <c r="A19" s="16">
        <v>44682</v>
      </c>
      <c r="B19" s="27">
        <v>2781.66</v>
      </c>
      <c r="C19" s="27">
        <v>998.32</v>
      </c>
      <c r="D19" s="27">
        <v>0</v>
      </c>
      <c r="E19" s="27">
        <v>1056.3</v>
      </c>
      <c r="F19" s="27">
        <v>1521.34</v>
      </c>
      <c r="G19" s="27">
        <v>805.35</v>
      </c>
      <c r="H19" s="27">
        <v>459.69</v>
      </c>
      <c r="I19" s="27">
        <v>492.45</v>
      </c>
      <c r="J19" s="27">
        <v>957.18</v>
      </c>
      <c r="K19" s="27">
        <v>639.87</v>
      </c>
      <c r="L19" s="27">
        <v>1116.1500000000001</v>
      </c>
      <c r="M19" s="27">
        <v>0</v>
      </c>
      <c r="N19" s="27">
        <v>1579.9</v>
      </c>
      <c r="O19" s="27">
        <v>2343.39</v>
      </c>
      <c r="P19" s="27">
        <v>0</v>
      </c>
      <c r="Q19" s="27">
        <v>488.46</v>
      </c>
      <c r="R19" s="27">
        <v>797.16</v>
      </c>
      <c r="S19" s="27">
        <v>351.12</v>
      </c>
      <c r="T19" s="27">
        <v>107.31</v>
      </c>
      <c r="U19" s="27">
        <v>440.58</v>
      </c>
      <c r="V19" s="27">
        <v>2076.89</v>
      </c>
      <c r="W19" s="27">
        <v>3236.73</v>
      </c>
      <c r="X19" s="27">
        <v>3974.3</v>
      </c>
      <c r="Y19" s="27">
        <v>3689.92</v>
      </c>
      <c r="Z19" s="27">
        <v>66.569999999999993</v>
      </c>
      <c r="AA19" s="27">
        <v>0</v>
      </c>
      <c r="AB19" s="27">
        <v>0</v>
      </c>
      <c r="AC19" s="27">
        <v>0</v>
      </c>
      <c r="AD19" s="27">
        <v>391.65</v>
      </c>
      <c r="AE19" s="27">
        <v>377.79</v>
      </c>
      <c r="AF19" s="27">
        <v>828.03</v>
      </c>
      <c r="AG19" s="27">
        <v>564.69000000000005</v>
      </c>
      <c r="AH19" s="27">
        <v>690.4</v>
      </c>
      <c r="AI19" s="27">
        <v>164.61</v>
      </c>
      <c r="AJ19" s="27">
        <v>83.37</v>
      </c>
      <c r="AK19" s="27">
        <v>0</v>
      </c>
    </row>
    <row r="20" spans="1:37" ht="15">
      <c r="A20" s="16">
        <v>44713</v>
      </c>
      <c r="B20" s="27">
        <v>2914.12</v>
      </c>
      <c r="C20" s="27">
        <v>1045.6600000000001</v>
      </c>
      <c r="D20" s="27">
        <v>0</v>
      </c>
      <c r="E20" s="27">
        <v>1106.5999999999999</v>
      </c>
      <c r="F20" s="27">
        <v>1582.24</v>
      </c>
      <c r="G20" s="27">
        <v>843.7</v>
      </c>
      <c r="H20" s="27">
        <v>481.58</v>
      </c>
      <c r="I20" s="27">
        <v>515.9</v>
      </c>
      <c r="J20" s="27">
        <v>1002.76</v>
      </c>
      <c r="K20" s="27">
        <v>670.34</v>
      </c>
      <c r="L20" s="27">
        <v>1169.3</v>
      </c>
      <c r="M20" s="27">
        <v>0</v>
      </c>
      <c r="N20" s="27">
        <v>1641.2</v>
      </c>
      <c r="O20" s="27">
        <v>2454.98</v>
      </c>
      <c r="P20" s="27">
        <v>0</v>
      </c>
      <c r="Q20" s="27">
        <v>511.72</v>
      </c>
      <c r="R20" s="27">
        <v>835.12</v>
      </c>
      <c r="S20" s="27">
        <v>367.84</v>
      </c>
      <c r="T20" s="27">
        <v>112.42</v>
      </c>
      <c r="U20" s="27">
        <v>461.56</v>
      </c>
      <c r="V20" s="27">
        <v>2144.34</v>
      </c>
      <c r="W20" s="27">
        <v>3390.86</v>
      </c>
      <c r="X20" s="27">
        <v>4129.3999999999996</v>
      </c>
      <c r="Y20" s="27">
        <v>3841.64</v>
      </c>
      <c r="Z20" s="27">
        <v>69.739999999999995</v>
      </c>
      <c r="AA20" s="27">
        <v>0</v>
      </c>
      <c r="AB20" s="27">
        <v>0</v>
      </c>
      <c r="AC20" s="27">
        <v>0</v>
      </c>
      <c r="AD20" s="27">
        <v>410.3</v>
      </c>
      <c r="AE20" s="27">
        <v>395.78</v>
      </c>
      <c r="AF20" s="27">
        <v>867.46</v>
      </c>
      <c r="AG20" s="27">
        <v>591.58000000000004</v>
      </c>
      <c r="AH20" s="27">
        <v>718.3</v>
      </c>
      <c r="AI20" s="27">
        <v>170.06</v>
      </c>
      <c r="AJ20" s="27">
        <v>87.34</v>
      </c>
      <c r="AK20" s="27">
        <v>0</v>
      </c>
    </row>
    <row r="21" spans="1:37" ht="15">
      <c r="A21" s="16">
        <v>44743</v>
      </c>
      <c r="B21" s="27">
        <v>2235.4495109999998</v>
      </c>
      <c r="C21" s="27">
        <v>966.34977179999998</v>
      </c>
      <c r="D21" s="27">
        <v>0</v>
      </c>
      <c r="E21" s="27">
        <v>754.96648900000002</v>
      </c>
      <c r="F21" s="27">
        <v>1471.7497579999999</v>
      </c>
      <c r="G21" s="27">
        <v>636.29981099999998</v>
      </c>
      <c r="H21" s="27">
        <v>233.09995169999999</v>
      </c>
      <c r="I21" s="27">
        <v>380.099874</v>
      </c>
      <c r="J21" s="27">
        <v>621.59980680000001</v>
      </c>
      <c r="K21" s="27">
        <v>632.44986840000001</v>
      </c>
      <c r="L21" s="27">
        <v>758.44982219999997</v>
      </c>
      <c r="M21" s="27">
        <v>0</v>
      </c>
      <c r="N21" s="27">
        <v>1525.9995739999999</v>
      </c>
      <c r="O21" s="27">
        <v>2272.1995440000001</v>
      </c>
      <c r="P21" s="27">
        <v>0</v>
      </c>
      <c r="Q21" s="27">
        <v>376.94992439999999</v>
      </c>
      <c r="R21" s="27">
        <v>690.54988170000001</v>
      </c>
      <c r="S21" s="27">
        <v>352.79992440000001</v>
      </c>
      <c r="T21" s="27">
        <v>108.149979</v>
      </c>
      <c r="U21" s="27">
        <v>300.64996919999999</v>
      </c>
      <c r="V21" s="27">
        <v>1538.249454</v>
      </c>
      <c r="W21" s="27">
        <v>3175.199431</v>
      </c>
      <c r="X21" s="27">
        <v>3859.799223</v>
      </c>
      <c r="Y21" s="27">
        <v>3626.3491220000001</v>
      </c>
      <c r="Z21" s="46">
        <v>63</v>
      </c>
      <c r="AA21" s="27">
        <v>0</v>
      </c>
      <c r="AB21" s="27">
        <v>0</v>
      </c>
      <c r="AC21" s="27">
        <v>0</v>
      </c>
      <c r="AD21" s="27">
        <v>391.99993560000001</v>
      </c>
      <c r="AE21" s="27">
        <v>496.29996149999999</v>
      </c>
      <c r="AF21" s="27">
        <v>810.94972559999997</v>
      </c>
      <c r="AG21" s="46">
        <v>538</v>
      </c>
      <c r="AH21" s="27">
        <v>504.69995310000002</v>
      </c>
      <c r="AI21" s="27">
        <v>107.799993</v>
      </c>
      <c r="AJ21" s="27">
        <v>58.099986000000001</v>
      </c>
      <c r="AK21" s="27">
        <v>0</v>
      </c>
    </row>
    <row r="22" spans="1:37" ht="15">
      <c r="A22" s="16">
        <v>44774</v>
      </c>
      <c r="B22" s="27">
        <v>2341.8994870000001</v>
      </c>
      <c r="C22" s="27">
        <v>1013.166426</v>
      </c>
      <c r="D22" s="27">
        <v>0</v>
      </c>
      <c r="E22" s="27">
        <v>791.26648039999998</v>
      </c>
      <c r="F22" s="27">
        <v>1549.566411</v>
      </c>
      <c r="G22" s="27">
        <v>667.13313800000003</v>
      </c>
      <c r="H22" s="27">
        <v>244.19994940000001</v>
      </c>
      <c r="I22" s="27">
        <v>398.19986799999998</v>
      </c>
      <c r="J22" s="27">
        <v>651.19979760000001</v>
      </c>
      <c r="K22" s="27">
        <v>662.56652880000001</v>
      </c>
      <c r="L22" s="27">
        <v>794.56647880000003</v>
      </c>
      <c r="M22" s="27">
        <v>0</v>
      </c>
      <c r="N22" s="27">
        <v>1605.3328859999999</v>
      </c>
      <c r="O22" s="27">
        <v>2386.7328539999999</v>
      </c>
      <c r="P22" s="27">
        <v>0</v>
      </c>
      <c r="Q22" s="27">
        <v>394.89992080000002</v>
      </c>
      <c r="R22" s="27">
        <v>723.43320940000001</v>
      </c>
      <c r="S22" s="27">
        <v>369.59992080000001</v>
      </c>
      <c r="T22" s="27">
        <v>113.299978</v>
      </c>
      <c r="U22" s="27">
        <v>314.96663439999998</v>
      </c>
      <c r="V22" s="27">
        <v>1635.7660920000001</v>
      </c>
      <c r="W22" s="27">
        <v>3326.3994039999998</v>
      </c>
      <c r="X22" s="27">
        <v>4059.0658520000002</v>
      </c>
      <c r="Y22" s="27">
        <v>3815.0324129999999</v>
      </c>
      <c r="Z22" s="46">
        <v>73</v>
      </c>
      <c r="AA22" s="27">
        <v>0</v>
      </c>
      <c r="AB22" s="27">
        <v>0</v>
      </c>
      <c r="AC22" s="27">
        <v>0</v>
      </c>
      <c r="AD22" s="27">
        <v>410.66659920000001</v>
      </c>
      <c r="AE22" s="27">
        <v>519.93329300000005</v>
      </c>
      <c r="AF22" s="27">
        <v>849.56637920000003</v>
      </c>
      <c r="AG22" s="46">
        <v>618</v>
      </c>
      <c r="AH22" s="27">
        <v>528.73328419999996</v>
      </c>
      <c r="AI22" s="27">
        <v>112.93332599999999</v>
      </c>
      <c r="AJ22" s="27">
        <v>60.866652000000002</v>
      </c>
      <c r="AK22" s="27">
        <v>0</v>
      </c>
    </row>
    <row r="23" spans="1:37" ht="15">
      <c r="A23" s="16">
        <v>44805</v>
      </c>
      <c r="B23" s="27">
        <v>2235.4495109999998</v>
      </c>
      <c r="C23" s="27">
        <v>967.34976979999999</v>
      </c>
      <c r="D23" s="27">
        <v>0</v>
      </c>
      <c r="E23" s="27">
        <v>755.29982219999999</v>
      </c>
      <c r="F23" s="27">
        <v>1481.416422</v>
      </c>
      <c r="G23" s="27">
        <v>636.96648100000004</v>
      </c>
      <c r="H23" s="27">
        <v>233.09995169999999</v>
      </c>
      <c r="I23" s="27">
        <v>380.099874</v>
      </c>
      <c r="J23" s="27">
        <v>621.59980680000001</v>
      </c>
      <c r="K23" s="27">
        <v>632.44986840000001</v>
      </c>
      <c r="L23" s="27">
        <v>758.44982019999998</v>
      </c>
      <c r="M23" s="27">
        <v>0</v>
      </c>
      <c r="N23" s="27">
        <v>1534.3329060000001</v>
      </c>
      <c r="O23" s="27">
        <v>2297.53287</v>
      </c>
      <c r="P23" s="27">
        <v>0</v>
      </c>
      <c r="Q23" s="27">
        <v>376.94992439999999</v>
      </c>
      <c r="R23" s="27">
        <v>690.54988170000001</v>
      </c>
      <c r="S23" s="27">
        <v>352.79992440000001</v>
      </c>
      <c r="T23" s="27">
        <v>108.149979</v>
      </c>
      <c r="U23" s="27">
        <v>300.64996919999999</v>
      </c>
      <c r="V23" s="27">
        <v>1568.5827839999999</v>
      </c>
      <c r="W23" s="27">
        <v>3175.199431</v>
      </c>
      <c r="X23" s="27">
        <v>3879.1325550000001</v>
      </c>
      <c r="Y23" s="27">
        <v>3646.3491220000001</v>
      </c>
      <c r="Z23" s="46">
        <v>67</v>
      </c>
      <c r="AA23" s="27">
        <v>0</v>
      </c>
      <c r="AB23" s="27">
        <v>0</v>
      </c>
      <c r="AC23" s="27">
        <v>0</v>
      </c>
      <c r="AD23" s="27">
        <v>391.99993560000001</v>
      </c>
      <c r="AE23" s="27">
        <v>496.29996149999999</v>
      </c>
      <c r="AF23" s="27">
        <v>810.94972559999997</v>
      </c>
      <c r="AG23" s="46">
        <v>565</v>
      </c>
      <c r="AH23" s="27">
        <v>504.69995310000002</v>
      </c>
      <c r="AI23" s="27">
        <v>107.799993</v>
      </c>
      <c r="AJ23" s="27">
        <v>58.099986000000001</v>
      </c>
      <c r="AK23" s="27">
        <v>0</v>
      </c>
    </row>
    <row r="24" spans="1:37" ht="15">
      <c r="A24" s="16">
        <v>44835</v>
      </c>
      <c r="B24" s="27">
        <v>2582.1161090000001</v>
      </c>
      <c r="C24" s="27">
        <v>988.38308440000003</v>
      </c>
      <c r="D24" s="27">
        <v>0</v>
      </c>
      <c r="E24" s="27">
        <v>809.2998202</v>
      </c>
      <c r="F24" s="27">
        <v>1432.1830689999999</v>
      </c>
      <c r="G24" s="27">
        <v>751.99976779999997</v>
      </c>
      <c r="H24" s="27">
        <v>448.09987169999999</v>
      </c>
      <c r="I24" s="27">
        <v>379.43318399999998</v>
      </c>
      <c r="J24" s="27">
        <v>618.26647079999998</v>
      </c>
      <c r="K24" s="27">
        <v>641.11653039999999</v>
      </c>
      <c r="L24" s="27">
        <v>757.4498208</v>
      </c>
      <c r="M24" s="27">
        <v>0</v>
      </c>
      <c r="N24" s="27">
        <v>1551.832901</v>
      </c>
      <c r="O24" s="27">
        <v>2311.7995550000001</v>
      </c>
      <c r="P24" s="27">
        <v>0</v>
      </c>
      <c r="Q24" s="27">
        <v>376.94992439999999</v>
      </c>
      <c r="R24" s="27">
        <v>693.88320369999997</v>
      </c>
      <c r="S24" s="27">
        <v>352.79992440000001</v>
      </c>
      <c r="T24" s="27">
        <v>114.483313</v>
      </c>
      <c r="U24" s="27">
        <v>341.64996120000001</v>
      </c>
      <c r="V24" s="27">
        <v>2014.6826289999999</v>
      </c>
      <c r="W24" s="27">
        <v>3193.8660770000001</v>
      </c>
      <c r="X24" s="27">
        <v>3924.149269</v>
      </c>
      <c r="Y24" s="27">
        <v>3645.3490729999999</v>
      </c>
      <c r="Z24" s="27">
        <v>49.333329999999997</v>
      </c>
      <c r="AA24" s="27">
        <v>0</v>
      </c>
      <c r="AB24" s="27">
        <v>0</v>
      </c>
      <c r="AC24" s="27">
        <v>0</v>
      </c>
      <c r="AD24" s="27">
        <v>392.33326959999999</v>
      </c>
      <c r="AE24" s="27">
        <v>503.2999595</v>
      </c>
      <c r="AF24" s="27">
        <v>804.94972359999997</v>
      </c>
      <c r="AG24" s="46">
        <v>551</v>
      </c>
      <c r="AH24" s="27">
        <v>677.03325110000003</v>
      </c>
      <c r="AI24" s="27">
        <v>169.79998699999999</v>
      </c>
      <c r="AJ24" s="27">
        <v>83.433313999999996</v>
      </c>
      <c r="AK24" s="27">
        <v>0</v>
      </c>
    </row>
    <row r="25" spans="1:37" ht="15">
      <c r="A25" s="16">
        <v>44866</v>
      </c>
      <c r="B25" s="27">
        <v>2599.449439</v>
      </c>
      <c r="C25" s="27">
        <v>989.64974970000003</v>
      </c>
      <c r="D25" s="27">
        <v>0</v>
      </c>
      <c r="E25" s="27">
        <v>811.99982009999997</v>
      </c>
      <c r="F25" s="27">
        <v>1431.7997339999999</v>
      </c>
      <c r="G25" s="27">
        <v>757.74976590000006</v>
      </c>
      <c r="H25" s="27">
        <v>458.8498677</v>
      </c>
      <c r="I25" s="27">
        <v>379.39984950000002</v>
      </c>
      <c r="J25" s="27">
        <v>618.09980399999995</v>
      </c>
      <c r="K25" s="27">
        <v>641.54986350000001</v>
      </c>
      <c r="L25" s="27">
        <v>757.39982039999995</v>
      </c>
      <c r="M25" s="27">
        <v>0</v>
      </c>
      <c r="N25" s="27">
        <v>1554.4995670000001</v>
      </c>
      <c r="O25" s="27">
        <v>2320.0495540000002</v>
      </c>
      <c r="P25" s="27">
        <v>0</v>
      </c>
      <c r="Q25" s="27">
        <v>376.94992439999999</v>
      </c>
      <c r="R25" s="27">
        <v>694.04986980000001</v>
      </c>
      <c r="S25" s="27">
        <v>352.79992440000001</v>
      </c>
      <c r="T25" s="27">
        <v>114.79997969999999</v>
      </c>
      <c r="U25" s="27">
        <v>343.69996079999999</v>
      </c>
      <c r="V25" s="27">
        <v>2042.299287</v>
      </c>
      <c r="W25" s="27">
        <v>3194.7994090000002</v>
      </c>
      <c r="X25" s="27">
        <v>3932.9492719999998</v>
      </c>
      <c r="Y25" s="27">
        <v>3648.1490709999998</v>
      </c>
      <c r="Z25" s="27">
        <v>51.799996499999999</v>
      </c>
      <c r="AA25" s="27">
        <v>0</v>
      </c>
      <c r="AB25" s="27">
        <v>0</v>
      </c>
      <c r="AC25" s="27">
        <v>0</v>
      </c>
      <c r="AD25" s="27">
        <v>392.34993630000002</v>
      </c>
      <c r="AE25" s="27">
        <v>503.6499594</v>
      </c>
      <c r="AF25" s="27">
        <v>804.64972350000005</v>
      </c>
      <c r="AG25" s="46">
        <v>551</v>
      </c>
      <c r="AH25" s="27">
        <v>685.64991599999996</v>
      </c>
      <c r="AI25" s="27">
        <v>172.8999867</v>
      </c>
      <c r="AJ25" s="27">
        <v>84.699980400000001</v>
      </c>
      <c r="AK25" s="27">
        <v>0</v>
      </c>
    </row>
    <row r="26" spans="1:37" ht="15">
      <c r="A26" s="16">
        <v>44896</v>
      </c>
      <c r="B26" s="27">
        <v>2599.5161050000002</v>
      </c>
      <c r="C26" s="27">
        <v>989.29975039999999</v>
      </c>
      <c r="D26" s="27">
        <v>0</v>
      </c>
      <c r="E26" s="27">
        <v>811.99982009999997</v>
      </c>
      <c r="F26" s="27">
        <v>1428.416401</v>
      </c>
      <c r="G26" s="27">
        <v>757.81643120000001</v>
      </c>
      <c r="H26" s="27">
        <v>458.8498677</v>
      </c>
      <c r="I26" s="27">
        <v>379.39984950000002</v>
      </c>
      <c r="J26" s="27">
        <v>618.09980399999995</v>
      </c>
      <c r="K26" s="27">
        <v>641.54986350000001</v>
      </c>
      <c r="L26" s="27">
        <v>757.39982099999997</v>
      </c>
      <c r="M26" s="27">
        <v>0</v>
      </c>
      <c r="N26" s="27">
        <v>1551.582901</v>
      </c>
      <c r="O26" s="27">
        <v>2326.9828859999998</v>
      </c>
      <c r="P26" s="27">
        <v>0</v>
      </c>
      <c r="Q26" s="27">
        <v>376.94992439999999</v>
      </c>
      <c r="R26" s="27">
        <v>694.04986980000001</v>
      </c>
      <c r="S26" s="27">
        <v>352.79992440000001</v>
      </c>
      <c r="T26" s="27">
        <v>114.79997969999999</v>
      </c>
      <c r="U26" s="27">
        <v>343.69996079999999</v>
      </c>
      <c r="V26" s="27">
        <v>2033.615955</v>
      </c>
      <c r="W26" s="27">
        <v>3194.7994090000002</v>
      </c>
      <c r="X26" s="27">
        <v>3924.9492719999998</v>
      </c>
      <c r="Y26" s="27">
        <v>3645.7324039999999</v>
      </c>
      <c r="Z26" s="27">
        <v>51.799996499999999</v>
      </c>
      <c r="AA26" s="27">
        <v>0</v>
      </c>
      <c r="AB26" s="27">
        <v>0</v>
      </c>
      <c r="AC26" s="27">
        <v>0</v>
      </c>
      <c r="AD26" s="27">
        <v>392.34993630000002</v>
      </c>
      <c r="AE26" s="27">
        <v>503.6499594</v>
      </c>
      <c r="AF26" s="27">
        <v>804.64972350000005</v>
      </c>
      <c r="AG26" s="46">
        <v>551</v>
      </c>
      <c r="AH26" s="27">
        <v>685.64991599999996</v>
      </c>
      <c r="AI26" s="27">
        <v>172.8999867</v>
      </c>
      <c r="AJ26" s="27">
        <v>84.699980400000001</v>
      </c>
      <c r="AK26" s="27">
        <v>0</v>
      </c>
    </row>
    <row r="27" spans="1:37" ht="15">
      <c r="A27" s="16">
        <v>44927</v>
      </c>
      <c r="B27" s="27">
        <v>2642.3327939999999</v>
      </c>
      <c r="C27" s="27">
        <v>943.73310560000004</v>
      </c>
      <c r="D27" s="27">
        <v>0</v>
      </c>
      <c r="E27" s="27">
        <v>1010.999782</v>
      </c>
      <c r="F27" s="27">
        <v>1439.3997529999999</v>
      </c>
      <c r="G27" s="27">
        <v>753.33309799999995</v>
      </c>
      <c r="H27" s="27">
        <v>454.33320400000002</v>
      </c>
      <c r="I27" s="27">
        <v>466.33316000000002</v>
      </c>
      <c r="J27" s="27">
        <v>900.33312000000001</v>
      </c>
      <c r="K27" s="27">
        <v>621.99987599999997</v>
      </c>
      <c r="L27" s="27">
        <v>1062.999742</v>
      </c>
      <c r="M27" s="27">
        <v>0</v>
      </c>
      <c r="N27" s="27">
        <v>1498.66625</v>
      </c>
      <c r="O27" s="27">
        <v>2231.6661979999999</v>
      </c>
      <c r="P27" s="27">
        <v>0</v>
      </c>
      <c r="Q27" s="27">
        <v>462.33321000000001</v>
      </c>
      <c r="R27" s="27">
        <v>770.66651200000001</v>
      </c>
      <c r="S27" s="27">
        <v>334.33327400000002</v>
      </c>
      <c r="T27" s="27">
        <v>108.999978</v>
      </c>
      <c r="U27" s="27">
        <v>419.66661800000003</v>
      </c>
      <c r="V27" s="27">
        <v>1978.665986</v>
      </c>
      <c r="W27" s="27">
        <v>3105.999354</v>
      </c>
      <c r="X27" s="27">
        <v>3818.2658900000001</v>
      </c>
      <c r="Y27" s="27">
        <v>3494.999073</v>
      </c>
      <c r="Z27" s="27">
        <v>49.333329999999997</v>
      </c>
      <c r="AA27" s="27">
        <v>0</v>
      </c>
      <c r="AB27" s="27">
        <v>0</v>
      </c>
      <c r="AC27" s="27">
        <v>0</v>
      </c>
      <c r="AD27" s="27">
        <v>373.99992600000002</v>
      </c>
      <c r="AE27" s="27">
        <v>403.333258</v>
      </c>
      <c r="AF27" s="27">
        <v>770.66640400000006</v>
      </c>
      <c r="AG27" s="27">
        <v>493.13321400000001</v>
      </c>
      <c r="AH27" s="27">
        <v>643.33326399999999</v>
      </c>
      <c r="AI27" s="27">
        <v>163.999988</v>
      </c>
      <c r="AJ27" s="27">
        <v>79.333312000000006</v>
      </c>
      <c r="AK27" s="27">
        <v>0</v>
      </c>
    </row>
    <row r="28" spans="1:37" ht="15">
      <c r="A28" s="16">
        <v>44958</v>
      </c>
      <c r="B28" s="27">
        <v>2642.3327939999999</v>
      </c>
      <c r="C28" s="27">
        <v>943.93310540000004</v>
      </c>
      <c r="D28" s="27">
        <v>0</v>
      </c>
      <c r="E28" s="27">
        <v>1010.999782</v>
      </c>
      <c r="F28" s="27">
        <v>1440.849753</v>
      </c>
      <c r="G28" s="27">
        <v>753.33309799999995</v>
      </c>
      <c r="H28" s="27">
        <v>454.33320400000002</v>
      </c>
      <c r="I28" s="27">
        <v>466.33316000000002</v>
      </c>
      <c r="J28" s="27">
        <v>900.33312000000001</v>
      </c>
      <c r="K28" s="27">
        <v>621.99987599999997</v>
      </c>
      <c r="L28" s="27">
        <v>1062.999742</v>
      </c>
      <c r="M28" s="27">
        <v>0</v>
      </c>
      <c r="N28" s="27">
        <v>1499.9162490000001</v>
      </c>
      <c r="O28" s="27">
        <v>2231.6661979999999</v>
      </c>
      <c r="P28" s="27">
        <v>0</v>
      </c>
      <c r="Q28" s="27">
        <v>462.33321000000001</v>
      </c>
      <c r="R28" s="27">
        <v>770.66651200000001</v>
      </c>
      <c r="S28" s="27">
        <v>334.33327400000002</v>
      </c>
      <c r="T28" s="27">
        <v>108.999978</v>
      </c>
      <c r="U28" s="27">
        <v>419.66661800000003</v>
      </c>
      <c r="V28" s="27">
        <v>1984.1659850000001</v>
      </c>
      <c r="W28" s="27">
        <v>3105.999354</v>
      </c>
      <c r="X28" s="27">
        <v>3822.815889</v>
      </c>
      <c r="Y28" s="27">
        <v>3496.749073</v>
      </c>
      <c r="Z28" s="27">
        <v>49.333329999999997</v>
      </c>
      <c r="AA28" s="27">
        <v>0</v>
      </c>
      <c r="AB28" s="27">
        <v>0</v>
      </c>
      <c r="AC28" s="27">
        <v>0</v>
      </c>
      <c r="AD28" s="27">
        <v>373.99992600000002</v>
      </c>
      <c r="AE28" s="27">
        <v>403.333258</v>
      </c>
      <c r="AF28" s="27">
        <v>770.66640400000006</v>
      </c>
      <c r="AG28" s="27">
        <v>493.28321399999999</v>
      </c>
      <c r="AH28" s="27">
        <v>643.33326399999999</v>
      </c>
      <c r="AI28" s="27">
        <v>163.999988</v>
      </c>
      <c r="AJ28" s="27">
        <v>79.333312000000006</v>
      </c>
      <c r="AK28" s="27">
        <v>0</v>
      </c>
    </row>
    <row r="29" spans="1:37" ht="15">
      <c r="A29" s="16">
        <v>44986</v>
      </c>
      <c r="B29" s="27">
        <v>3038.6827130000001</v>
      </c>
      <c r="C29" s="27">
        <v>1085.2164049999999</v>
      </c>
      <c r="D29" s="27">
        <v>0</v>
      </c>
      <c r="E29" s="27">
        <v>1162.6497489999999</v>
      </c>
      <c r="F29" s="27">
        <v>1654.6330499999999</v>
      </c>
      <c r="G29" s="27">
        <v>866.36639600000001</v>
      </c>
      <c r="H29" s="27">
        <v>522.48318459999996</v>
      </c>
      <c r="I29" s="27">
        <v>536.28313400000002</v>
      </c>
      <c r="J29" s="27">
        <v>1035.383088</v>
      </c>
      <c r="K29" s="27">
        <v>715.29985739999995</v>
      </c>
      <c r="L29" s="27">
        <v>1222.4497040000001</v>
      </c>
      <c r="M29" s="27">
        <v>0</v>
      </c>
      <c r="N29" s="27">
        <v>1722.882854</v>
      </c>
      <c r="O29" s="27">
        <v>2566.4161279999998</v>
      </c>
      <c r="P29" s="27">
        <v>0</v>
      </c>
      <c r="Q29" s="27">
        <v>531.68319150000002</v>
      </c>
      <c r="R29" s="27">
        <v>886.26648880000005</v>
      </c>
      <c r="S29" s="27">
        <v>384.48326509999998</v>
      </c>
      <c r="T29" s="27">
        <v>125.3499747</v>
      </c>
      <c r="U29" s="27">
        <v>482.61661070000002</v>
      </c>
      <c r="V29" s="27">
        <v>2274.499217</v>
      </c>
      <c r="W29" s="27">
        <v>3571.899257</v>
      </c>
      <c r="X29" s="27">
        <v>4389.8491059999997</v>
      </c>
      <c r="Y29" s="27">
        <v>4019.182268</v>
      </c>
      <c r="Z29" s="27">
        <v>56.733329500000004</v>
      </c>
      <c r="AA29" s="27">
        <v>0</v>
      </c>
      <c r="AB29" s="27">
        <v>0</v>
      </c>
      <c r="AC29" s="27">
        <v>0</v>
      </c>
      <c r="AD29" s="27">
        <v>430.09991489999999</v>
      </c>
      <c r="AE29" s="27">
        <v>463.83324670000002</v>
      </c>
      <c r="AF29" s="27">
        <v>886.26636459999997</v>
      </c>
      <c r="AG29" s="27">
        <v>566.6831962</v>
      </c>
      <c r="AH29" s="27">
        <v>739.83325360000003</v>
      </c>
      <c r="AI29" s="27">
        <v>188.59998619999999</v>
      </c>
      <c r="AJ29" s="27">
        <v>91.233308800000003</v>
      </c>
      <c r="AK29" s="27">
        <v>0</v>
      </c>
    </row>
    <row r="30" spans="1:37" ht="15">
      <c r="A30" s="16">
        <v>45017</v>
      </c>
      <c r="B30" s="27">
        <v>2686.399465</v>
      </c>
      <c r="C30" s="27">
        <v>948.86643879999997</v>
      </c>
      <c r="D30" s="27">
        <v>0</v>
      </c>
      <c r="E30" s="27">
        <v>1015.333104</v>
      </c>
      <c r="F30" s="27">
        <v>1440.3664200000001</v>
      </c>
      <c r="G30" s="27">
        <v>753.33309799999995</v>
      </c>
      <c r="H30" s="27">
        <v>454.33320400000002</v>
      </c>
      <c r="I30" s="27">
        <v>466.33316000000002</v>
      </c>
      <c r="J30" s="27">
        <v>898.99978799999997</v>
      </c>
      <c r="K30" s="27">
        <v>621.99986799999999</v>
      </c>
      <c r="L30" s="27">
        <v>1062.333052</v>
      </c>
      <c r="M30" s="27">
        <v>0</v>
      </c>
      <c r="N30" s="27">
        <v>1499.499583</v>
      </c>
      <c r="O30" s="27">
        <v>2231.6661979999999</v>
      </c>
      <c r="P30" s="27">
        <v>0</v>
      </c>
      <c r="Q30" s="27">
        <v>462.33321000000001</v>
      </c>
      <c r="R30" s="27">
        <v>770.66650200000004</v>
      </c>
      <c r="S30" s="27">
        <v>334.33327400000002</v>
      </c>
      <c r="T30" s="27">
        <v>108.999978</v>
      </c>
      <c r="U30" s="27">
        <v>419.66661800000003</v>
      </c>
      <c r="V30" s="27">
        <v>1984.9993239999999</v>
      </c>
      <c r="W30" s="27">
        <v>3137.666056</v>
      </c>
      <c r="X30" s="27">
        <v>3864.6325270000002</v>
      </c>
      <c r="Y30" s="27">
        <v>3492.83241</v>
      </c>
      <c r="Z30" s="27">
        <v>49.333329999999997</v>
      </c>
      <c r="AA30" s="27">
        <v>0</v>
      </c>
      <c r="AB30" s="27">
        <v>0</v>
      </c>
      <c r="AC30" s="27">
        <v>0</v>
      </c>
      <c r="AD30" s="27">
        <v>373.99992600000002</v>
      </c>
      <c r="AE30" s="27">
        <v>390.33325200000002</v>
      </c>
      <c r="AF30" s="27">
        <v>958.99971000000005</v>
      </c>
      <c r="AG30" s="27">
        <v>514.89988200000005</v>
      </c>
      <c r="AH30" s="27">
        <v>643.66659800000002</v>
      </c>
      <c r="AI30" s="27">
        <v>163.999988</v>
      </c>
      <c r="AJ30" s="27">
        <v>79.333312000000006</v>
      </c>
      <c r="AK30" s="27">
        <v>0</v>
      </c>
    </row>
    <row r="31" spans="1:37" ht="15">
      <c r="A31" s="16">
        <v>45047</v>
      </c>
      <c r="B31" s="27">
        <v>2953.299411</v>
      </c>
      <c r="C31" s="27">
        <v>1043.6497489999999</v>
      </c>
      <c r="D31" s="27">
        <v>0</v>
      </c>
      <c r="E31" s="27">
        <v>1116.8664140000001</v>
      </c>
      <c r="F31" s="27">
        <v>1583.533062</v>
      </c>
      <c r="G31" s="27">
        <v>828.79974100000004</v>
      </c>
      <c r="H31" s="27">
        <v>499.76652439999998</v>
      </c>
      <c r="I31" s="27">
        <v>512.96647599999994</v>
      </c>
      <c r="J31" s="27">
        <v>988.89976679999995</v>
      </c>
      <c r="K31" s="27">
        <v>684.19985480000003</v>
      </c>
      <c r="L31" s="27">
        <v>1168.566358</v>
      </c>
      <c r="M31" s="27">
        <v>0</v>
      </c>
      <c r="N31" s="27">
        <v>1648.699541</v>
      </c>
      <c r="O31" s="27">
        <v>2454.8328179999999</v>
      </c>
      <c r="P31" s="27">
        <v>0</v>
      </c>
      <c r="Q31" s="27">
        <v>508.566531</v>
      </c>
      <c r="R31" s="27">
        <v>847.73315219999995</v>
      </c>
      <c r="S31" s="27">
        <v>367.76660140000001</v>
      </c>
      <c r="T31" s="27">
        <v>119.89997580000001</v>
      </c>
      <c r="U31" s="27">
        <v>461.63327980000003</v>
      </c>
      <c r="V31" s="27">
        <v>2184.099256</v>
      </c>
      <c r="W31" s="27">
        <v>3451.4326620000002</v>
      </c>
      <c r="X31" s="27">
        <v>4250.982446</v>
      </c>
      <c r="Y31" s="27">
        <v>3843.3156509999999</v>
      </c>
      <c r="Z31" s="27">
        <v>54.266663000000001</v>
      </c>
      <c r="AA31" s="27">
        <v>0</v>
      </c>
      <c r="AB31" s="27">
        <v>0</v>
      </c>
      <c r="AC31" s="27">
        <v>0</v>
      </c>
      <c r="AD31" s="27">
        <v>411.39991859999998</v>
      </c>
      <c r="AE31" s="27">
        <v>429.36657719999999</v>
      </c>
      <c r="AF31" s="27">
        <v>1054.8996810000001</v>
      </c>
      <c r="AG31" s="27">
        <v>565.96653690000005</v>
      </c>
      <c r="AH31" s="27">
        <v>708.0332578</v>
      </c>
      <c r="AI31" s="27">
        <v>180.39998679999999</v>
      </c>
      <c r="AJ31" s="27">
        <v>87.266643200000004</v>
      </c>
      <c r="AK31" s="27">
        <v>0</v>
      </c>
    </row>
    <row r="32" spans="1:37" ht="15">
      <c r="A32" s="16">
        <v>45078</v>
      </c>
      <c r="B32" s="27">
        <v>2935.8994130000001</v>
      </c>
      <c r="C32" s="27">
        <v>1042.433084</v>
      </c>
      <c r="D32" s="27">
        <v>0</v>
      </c>
      <c r="E32" s="27">
        <v>1116.8664140000001</v>
      </c>
      <c r="F32" s="27">
        <v>1574.8330639999999</v>
      </c>
      <c r="G32" s="27">
        <v>828.6664078</v>
      </c>
      <c r="H32" s="27">
        <v>499.76652439999998</v>
      </c>
      <c r="I32" s="27">
        <v>512.96647599999994</v>
      </c>
      <c r="J32" s="27">
        <v>988.89976679999995</v>
      </c>
      <c r="K32" s="27">
        <v>684.19985480000003</v>
      </c>
      <c r="L32" s="27">
        <v>1168.5663589999999</v>
      </c>
      <c r="M32" s="27">
        <v>0</v>
      </c>
      <c r="N32" s="27">
        <v>1641.1995420000001</v>
      </c>
      <c r="O32" s="27">
        <v>2454.8328179999999</v>
      </c>
      <c r="P32" s="27">
        <v>0</v>
      </c>
      <c r="Q32" s="27">
        <v>508.566531</v>
      </c>
      <c r="R32" s="27">
        <v>847.73315219999995</v>
      </c>
      <c r="S32" s="27">
        <v>367.76660140000001</v>
      </c>
      <c r="T32" s="27">
        <v>119.89997580000001</v>
      </c>
      <c r="U32" s="27">
        <v>461.63327980000003</v>
      </c>
      <c r="V32" s="27">
        <v>2147.1992610000002</v>
      </c>
      <c r="W32" s="27">
        <v>3451.4326620000002</v>
      </c>
      <c r="X32" s="27">
        <v>4221.0657810000002</v>
      </c>
      <c r="Y32" s="27">
        <v>3830.5656530000001</v>
      </c>
      <c r="Z32" s="27">
        <v>54.266663000000001</v>
      </c>
      <c r="AA32" s="27">
        <v>0</v>
      </c>
      <c r="AB32" s="27">
        <v>0</v>
      </c>
      <c r="AC32" s="27">
        <v>0</v>
      </c>
      <c r="AD32" s="27">
        <v>411.39991859999998</v>
      </c>
      <c r="AE32" s="27">
        <v>429.36657719999999</v>
      </c>
      <c r="AF32" s="27">
        <v>1054.8996810000001</v>
      </c>
      <c r="AG32" s="27">
        <v>565.39987020000001</v>
      </c>
      <c r="AH32" s="27">
        <v>708.0332578</v>
      </c>
      <c r="AI32" s="27">
        <v>180.39998679999999</v>
      </c>
      <c r="AJ32" s="27">
        <v>87.266643200000004</v>
      </c>
      <c r="AK32" s="27">
        <v>0</v>
      </c>
    </row>
    <row r="33" spans="1:37" ht="15">
      <c r="A33" s="16">
        <v>45108</v>
      </c>
      <c r="B33" s="27">
        <v>2642.3327939999999</v>
      </c>
      <c r="C33" s="27">
        <v>942.66643999999997</v>
      </c>
      <c r="D33" s="27">
        <v>0</v>
      </c>
      <c r="E33" s="27">
        <v>1003.6664479999999</v>
      </c>
      <c r="F33" s="27">
        <v>1431.666422</v>
      </c>
      <c r="G33" s="27">
        <v>754.33309199999997</v>
      </c>
      <c r="H33" s="27">
        <v>441.99987399999998</v>
      </c>
      <c r="I33" s="27">
        <v>487.99980599999998</v>
      </c>
      <c r="J33" s="27">
        <v>900.33312000000001</v>
      </c>
      <c r="K33" s="27">
        <v>610.99987399999998</v>
      </c>
      <c r="L33" s="27">
        <v>1062.999744</v>
      </c>
      <c r="M33" s="27">
        <v>0</v>
      </c>
      <c r="N33" s="27">
        <v>1491.9995839999999</v>
      </c>
      <c r="O33" s="27">
        <v>2231.6661979999999</v>
      </c>
      <c r="P33" s="27">
        <v>0</v>
      </c>
      <c r="Q33" s="27">
        <v>446.333236</v>
      </c>
      <c r="R33" s="27">
        <v>770.66651200000001</v>
      </c>
      <c r="S33" s="27">
        <v>334.33327400000002</v>
      </c>
      <c r="T33" s="27">
        <v>108.999978</v>
      </c>
      <c r="U33" s="27">
        <v>419.66661800000003</v>
      </c>
      <c r="V33" s="27">
        <v>1949.332656</v>
      </c>
      <c r="W33" s="27">
        <v>3082.666084</v>
      </c>
      <c r="X33" s="27">
        <v>3753.9992520000001</v>
      </c>
      <c r="Y33" s="27">
        <v>3492.3324419999999</v>
      </c>
      <c r="Z33" s="27">
        <v>49.333329999999997</v>
      </c>
      <c r="AA33" s="27">
        <v>0</v>
      </c>
      <c r="AB33" s="27">
        <v>0</v>
      </c>
      <c r="AC33" s="27">
        <v>0</v>
      </c>
      <c r="AD33" s="27">
        <v>372.99992600000002</v>
      </c>
      <c r="AE33" s="27">
        <v>401.33326799999998</v>
      </c>
      <c r="AF33" s="27">
        <v>788.66637800000001</v>
      </c>
      <c r="AG33" s="27">
        <v>493.99984599999999</v>
      </c>
      <c r="AH33" s="27">
        <v>642.99992999999995</v>
      </c>
      <c r="AI33" s="27">
        <v>164.66665399999999</v>
      </c>
      <c r="AJ33" s="27">
        <v>79.333312000000006</v>
      </c>
      <c r="AK33" s="27">
        <v>0</v>
      </c>
    </row>
    <row r="34" spans="1:37" ht="15">
      <c r="A34" s="16">
        <v>45139</v>
      </c>
      <c r="B34" s="27">
        <v>3038.6827130000001</v>
      </c>
      <c r="C34" s="27">
        <v>1085.2664050000001</v>
      </c>
      <c r="D34" s="27">
        <v>0</v>
      </c>
      <c r="E34" s="27">
        <v>1154.2164150000001</v>
      </c>
      <c r="F34" s="27">
        <v>1655.116383</v>
      </c>
      <c r="G34" s="27">
        <v>867.48305579999999</v>
      </c>
      <c r="H34" s="27">
        <v>508.2998551</v>
      </c>
      <c r="I34" s="27">
        <v>561.19977689999996</v>
      </c>
      <c r="J34" s="27">
        <v>1035.383088</v>
      </c>
      <c r="K34" s="27">
        <v>702.64985509999997</v>
      </c>
      <c r="L34" s="27">
        <v>1222.4497040000001</v>
      </c>
      <c r="M34" s="27">
        <v>0</v>
      </c>
      <c r="N34" s="27">
        <v>1723.29952</v>
      </c>
      <c r="O34" s="27">
        <v>2566.4161279999998</v>
      </c>
      <c r="P34" s="27">
        <v>0</v>
      </c>
      <c r="Q34" s="27">
        <v>513.2832214</v>
      </c>
      <c r="R34" s="27">
        <v>886.26648880000005</v>
      </c>
      <c r="S34" s="27">
        <v>384.48326509999998</v>
      </c>
      <c r="T34" s="27">
        <v>125.3499747</v>
      </c>
      <c r="U34" s="27">
        <v>482.61661070000002</v>
      </c>
      <c r="V34" s="27">
        <v>2270.2325500000002</v>
      </c>
      <c r="W34" s="27">
        <v>3545.0659970000002</v>
      </c>
      <c r="X34" s="27">
        <v>4344.3991390000001</v>
      </c>
      <c r="Y34" s="27">
        <v>4026.8156389999999</v>
      </c>
      <c r="Z34" s="27">
        <v>56.733329500000004</v>
      </c>
      <c r="AA34" s="27">
        <v>0</v>
      </c>
      <c r="AB34" s="27">
        <v>0</v>
      </c>
      <c r="AC34" s="27">
        <v>0</v>
      </c>
      <c r="AD34" s="27">
        <v>428.94991490000001</v>
      </c>
      <c r="AE34" s="27">
        <v>461.53325819999998</v>
      </c>
      <c r="AF34" s="27">
        <v>906.96633469999995</v>
      </c>
      <c r="AG34" s="27">
        <v>568.99982290000003</v>
      </c>
      <c r="AH34" s="27">
        <v>739.44991949999996</v>
      </c>
      <c r="AI34" s="27">
        <v>189.36665210000001</v>
      </c>
      <c r="AJ34" s="27">
        <v>91.233308800000003</v>
      </c>
      <c r="AK34" s="27">
        <v>0</v>
      </c>
    </row>
    <row r="35" spans="1:37" ht="15">
      <c r="A35" s="16">
        <v>45170</v>
      </c>
      <c r="B35" s="27">
        <v>2774.4494340000001</v>
      </c>
      <c r="C35" s="27">
        <v>991.13309400000003</v>
      </c>
      <c r="D35" s="27">
        <v>0</v>
      </c>
      <c r="E35" s="27">
        <v>1053.84977</v>
      </c>
      <c r="F35" s="27">
        <v>1512.9164069999999</v>
      </c>
      <c r="G35" s="27">
        <v>792.04974660000005</v>
      </c>
      <c r="H35" s="27">
        <v>464.0998677</v>
      </c>
      <c r="I35" s="27">
        <v>512.39979630000005</v>
      </c>
      <c r="J35" s="27">
        <v>945.34977600000002</v>
      </c>
      <c r="K35" s="27">
        <v>641.54986770000005</v>
      </c>
      <c r="L35" s="27">
        <v>1116.166397</v>
      </c>
      <c r="M35" s="27">
        <v>0</v>
      </c>
      <c r="N35" s="27">
        <v>1574.9328949999999</v>
      </c>
      <c r="O35" s="27">
        <v>2343.2495079999999</v>
      </c>
      <c r="P35" s="27">
        <v>0</v>
      </c>
      <c r="Q35" s="27">
        <v>468.64989780000002</v>
      </c>
      <c r="R35" s="27">
        <v>809.19983760000002</v>
      </c>
      <c r="S35" s="27">
        <v>351.04993769999999</v>
      </c>
      <c r="T35" s="27">
        <v>114.4499769</v>
      </c>
      <c r="U35" s="27">
        <v>440.64994890000003</v>
      </c>
      <c r="V35" s="27">
        <v>2078.4659510000001</v>
      </c>
      <c r="W35" s="27">
        <v>3236.7993879999999</v>
      </c>
      <c r="X35" s="27">
        <v>3972.0325469999998</v>
      </c>
      <c r="Y35" s="27">
        <v>3678.6157280000002</v>
      </c>
      <c r="Z35" s="27">
        <v>51.799996499999999</v>
      </c>
      <c r="AA35" s="27">
        <v>0</v>
      </c>
      <c r="AB35" s="27">
        <v>0</v>
      </c>
      <c r="AC35" s="27">
        <v>0</v>
      </c>
      <c r="AD35" s="27">
        <v>391.64992230000001</v>
      </c>
      <c r="AE35" s="27">
        <v>421.39993140000001</v>
      </c>
      <c r="AF35" s="27">
        <v>828.09969690000003</v>
      </c>
      <c r="AG35" s="27">
        <v>519.69983830000001</v>
      </c>
      <c r="AH35" s="27">
        <v>675.14992649999999</v>
      </c>
      <c r="AI35" s="27">
        <v>172.8999867</v>
      </c>
      <c r="AJ35" s="27">
        <v>83.299977600000005</v>
      </c>
      <c r="AK35" s="27">
        <v>0</v>
      </c>
    </row>
    <row r="36" spans="1:37" ht="15">
      <c r="A36" s="16">
        <v>45200</v>
      </c>
      <c r="B36" s="27">
        <v>2774.4494340000001</v>
      </c>
      <c r="C36" s="27">
        <v>990.73309440000003</v>
      </c>
      <c r="D36" s="27">
        <v>0</v>
      </c>
      <c r="E36" s="27">
        <v>1061.549771</v>
      </c>
      <c r="F36" s="27">
        <v>1510.016408</v>
      </c>
      <c r="G36" s="27">
        <v>790.99975289999998</v>
      </c>
      <c r="H36" s="27">
        <v>477.0498642</v>
      </c>
      <c r="I36" s="27">
        <v>489.64981799999998</v>
      </c>
      <c r="J36" s="27">
        <v>945.34977600000002</v>
      </c>
      <c r="K36" s="27">
        <v>653.09986979999996</v>
      </c>
      <c r="L36" s="27">
        <v>1116.1497300000001</v>
      </c>
      <c r="M36" s="27">
        <v>0</v>
      </c>
      <c r="N36" s="27">
        <v>1572.432896</v>
      </c>
      <c r="O36" s="27">
        <v>2343.2495079999999</v>
      </c>
      <c r="P36" s="27">
        <v>0</v>
      </c>
      <c r="Q36" s="27">
        <v>485.44987049999997</v>
      </c>
      <c r="R36" s="27">
        <v>809.19983760000002</v>
      </c>
      <c r="S36" s="27">
        <v>351.04993769999999</v>
      </c>
      <c r="T36" s="27">
        <v>114.4499769</v>
      </c>
      <c r="U36" s="27">
        <v>440.64994890000003</v>
      </c>
      <c r="V36" s="27">
        <v>2072.465952</v>
      </c>
      <c r="W36" s="27">
        <v>3259.1993470000002</v>
      </c>
      <c r="X36" s="27">
        <v>4004.9325180000001</v>
      </c>
      <c r="Y36" s="27">
        <v>3668.1156940000001</v>
      </c>
      <c r="Z36" s="27">
        <v>51.799996499999999</v>
      </c>
      <c r="AA36" s="46">
        <v>271</v>
      </c>
      <c r="AB36" s="27">
        <v>0</v>
      </c>
      <c r="AC36" s="27">
        <v>0</v>
      </c>
      <c r="AD36" s="27">
        <v>392.69992230000003</v>
      </c>
      <c r="AE36" s="27">
        <v>423.49992090000001</v>
      </c>
      <c r="AF36" s="27">
        <v>809.19972419999999</v>
      </c>
      <c r="AG36" s="27">
        <v>517.64987470000005</v>
      </c>
      <c r="AH36" s="27">
        <v>675.4999272</v>
      </c>
      <c r="AI36" s="27">
        <v>172.1999874</v>
      </c>
      <c r="AJ36" s="27">
        <v>83.299977600000005</v>
      </c>
      <c r="AK36" s="27">
        <v>0</v>
      </c>
    </row>
    <row r="37" spans="1:37" ht="15">
      <c r="A37" s="16">
        <v>45231</v>
      </c>
      <c r="B37" s="27">
        <v>2774.4494340000001</v>
      </c>
      <c r="C37" s="27">
        <v>990.93309420000003</v>
      </c>
      <c r="D37" s="27">
        <v>0</v>
      </c>
      <c r="E37" s="27">
        <v>1061.549771</v>
      </c>
      <c r="F37" s="27">
        <v>1511.466408</v>
      </c>
      <c r="G37" s="27">
        <v>790.99975289999998</v>
      </c>
      <c r="H37" s="27">
        <v>477.0498642</v>
      </c>
      <c r="I37" s="27">
        <v>489.64981799999998</v>
      </c>
      <c r="J37" s="27">
        <v>945.34977600000002</v>
      </c>
      <c r="K37" s="27">
        <v>653.09986979999996</v>
      </c>
      <c r="L37" s="27">
        <v>1116.1497300000001</v>
      </c>
      <c r="M37" s="27">
        <v>0</v>
      </c>
      <c r="N37" s="27">
        <v>1573.6828949999999</v>
      </c>
      <c r="O37" s="27">
        <v>2343.2495079999999</v>
      </c>
      <c r="P37" s="27">
        <v>0</v>
      </c>
      <c r="Q37" s="27">
        <v>485.44987049999997</v>
      </c>
      <c r="R37" s="27">
        <v>809.19983760000002</v>
      </c>
      <c r="S37" s="27">
        <v>351.04993769999999</v>
      </c>
      <c r="T37" s="27">
        <v>114.4499769</v>
      </c>
      <c r="U37" s="27">
        <v>440.64994890000003</v>
      </c>
      <c r="V37" s="27">
        <v>2077.965952</v>
      </c>
      <c r="W37" s="27">
        <v>3259.2993459999998</v>
      </c>
      <c r="X37" s="27">
        <v>4009.4825169999999</v>
      </c>
      <c r="Y37" s="27">
        <v>3669.8656940000001</v>
      </c>
      <c r="Z37" s="27">
        <v>51.799996499999999</v>
      </c>
      <c r="AA37" s="46">
        <v>259</v>
      </c>
      <c r="AB37" s="27">
        <v>0</v>
      </c>
      <c r="AC37" s="27">
        <v>0</v>
      </c>
      <c r="AD37" s="27">
        <v>392.69992230000003</v>
      </c>
      <c r="AE37" s="27">
        <v>423.49992090000001</v>
      </c>
      <c r="AF37" s="27">
        <v>809.19972419999999</v>
      </c>
      <c r="AG37" s="27">
        <v>517.79987470000003</v>
      </c>
      <c r="AH37" s="27">
        <v>676.03326049999998</v>
      </c>
      <c r="AI37" s="27">
        <v>172.1999874</v>
      </c>
      <c r="AJ37" s="27">
        <v>83.299977600000005</v>
      </c>
      <c r="AK37" s="27">
        <v>0</v>
      </c>
    </row>
    <row r="38" spans="1:37" ht="15">
      <c r="A38" s="16">
        <v>45261</v>
      </c>
      <c r="B38" s="27">
        <v>2774.4494340000001</v>
      </c>
      <c r="C38" s="27">
        <v>990.54976120000003</v>
      </c>
      <c r="D38" s="27">
        <v>0</v>
      </c>
      <c r="E38" s="27">
        <v>1061.549771</v>
      </c>
      <c r="F38" s="27">
        <v>1508.5664079999999</v>
      </c>
      <c r="G38" s="27">
        <v>791.13308610000001</v>
      </c>
      <c r="H38" s="27">
        <v>477.0498642</v>
      </c>
      <c r="I38" s="27">
        <v>489.64981799999998</v>
      </c>
      <c r="J38" s="27">
        <v>945.34977600000002</v>
      </c>
      <c r="K38" s="27">
        <v>653.09986979999996</v>
      </c>
      <c r="L38" s="27">
        <v>1116.1497300000001</v>
      </c>
      <c r="M38" s="27">
        <v>0</v>
      </c>
      <c r="N38" s="27">
        <v>1571.182896</v>
      </c>
      <c r="O38" s="27">
        <v>2343.2495079999999</v>
      </c>
      <c r="P38" s="27">
        <v>0</v>
      </c>
      <c r="Q38" s="27">
        <v>485.44987049999997</v>
      </c>
      <c r="R38" s="27">
        <v>809.19983760000002</v>
      </c>
      <c r="S38" s="27">
        <v>351.04993769999999</v>
      </c>
      <c r="T38" s="27">
        <v>114.4499769</v>
      </c>
      <c r="U38" s="27">
        <v>440.64994890000003</v>
      </c>
      <c r="V38" s="27">
        <v>2070.865953</v>
      </c>
      <c r="W38" s="27">
        <v>3261.2993219999998</v>
      </c>
      <c r="X38" s="27">
        <v>4002.9991839999998</v>
      </c>
      <c r="Y38" s="27">
        <v>3668.6156940000001</v>
      </c>
      <c r="Z38" s="27">
        <v>51.799996499999999</v>
      </c>
      <c r="AA38" s="46">
        <v>246</v>
      </c>
      <c r="AB38" s="27">
        <v>0</v>
      </c>
      <c r="AC38" s="27">
        <v>0</v>
      </c>
      <c r="AD38" s="27">
        <v>392.69992230000003</v>
      </c>
      <c r="AE38" s="27">
        <v>423.49992090000001</v>
      </c>
      <c r="AF38" s="27">
        <v>809.19972419999999</v>
      </c>
      <c r="AG38" s="27">
        <v>517.14987480000002</v>
      </c>
      <c r="AH38" s="27">
        <v>675.4999272</v>
      </c>
      <c r="AI38" s="27">
        <v>172.1999874</v>
      </c>
      <c r="AJ38" s="27">
        <v>83.299977600000005</v>
      </c>
      <c r="AK38" s="27">
        <v>0</v>
      </c>
    </row>
    <row r="39" spans="1:37" ht="15">
      <c r="A39" s="16">
        <v>45292</v>
      </c>
      <c r="B39" s="27">
        <v>2596.8661459999998</v>
      </c>
      <c r="C39" s="27">
        <v>951.74975789999996</v>
      </c>
      <c r="D39" s="27">
        <v>0</v>
      </c>
      <c r="E39" s="27">
        <v>1130.4997470000001</v>
      </c>
      <c r="F39" s="27">
        <v>1676.8496909999999</v>
      </c>
      <c r="G39" s="27">
        <v>827.13307120000002</v>
      </c>
      <c r="H39" s="27">
        <v>431.61654379999999</v>
      </c>
      <c r="I39" s="27">
        <v>443.016502</v>
      </c>
      <c r="J39" s="27">
        <v>854.04980239999998</v>
      </c>
      <c r="K39" s="27">
        <v>576.96653809999998</v>
      </c>
      <c r="L39" s="27">
        <v>1009.2164</v>
      </c>
      <c r="M39" s="27">
        <v>0</v>
      </c>
      <c r="N39" s="27">
        <v>1458.1829250000001</v>
      </c>
      <c r="O39" s="27">
        <v>2177.0828769999998</v>
      </c>
      <c r="P39" s="27">
        <v>0</v>
      </c>
      <c r="Q39" s="27">
        <v>439.21654949999999</v>
      </c>
      <c r="R39" s="27">
        <v>731.18317500000001</v>
      </c>
      <c r="S39" s="27">
        <v>317.61661029999999</v>
      </c>
      <c r="T39" s="27">
        <v>97.216646400000002</v>
      </c>
      <c r="U39" s="27">
        <v>444.91660839999997</v>
      </c>
      <c r="V39" s="27">
        <v>1931.1826759999999</v>
      </c>
      <c r="W39" s="27">
        <v>3060.5827549999999</v>
      </c>
      <c r="X39" s="27">
        <v>3775.449224</v>
      </c>
      <c r="Y39" s="27">
        <v>3368.4158130000001</v>
      </c>
      <c r="Z39" s="27">
        <v>46.866663500000001</v>
      </c>
      <c r="AA39" s="27">
        <v>234.01658370000001</v>
      </c>
      <c r="AB39" s="27">
        <v>0</v>
      </c>
      <c r="AC39" s="27">
        <v>0</v>
      </c>
      <c r="AD39" s="27">
        <v>474.68322439999997</v>
      </c>
      <c r="AE39" s="27">
        <v>370.8165894</v>
      </c>
      <c r="AF39" s="27">
        <v>909.78304960000003</v>
      </c>
      <c r="AG39" s="27">
        <v>488.89988790000001</v>
      </c>
      <c r="AH39" s="27">
        <v>658.98326239999994</v>
      </c>
      <c r="AI39" s="27">
        <v>152.63332130000001</v>
      </c>
      <c r="AJ39" s="27">
        <v>75.366646399999993</v>
      </c>
      <c r="AK39" s="27">
        <v>0</v>
      </c>
    </row>
    <row r="40" spans="1:37" ht="15">
      <c r="A40" s="16">
        <v>45323</v>
      </c>
      <c r="B40" s="27">
        <v>2876.7327570000002</v>
      </c>
      <c r="C40" s="27">
        <v>1052.383065</v>
      </c>
      <c r="D40" s="27">
        <v>0</v>
      </c>
      <c r="E40" s="27">
        <v>1249.4997209999999</v>
      </c>
      <c r="F40" s="27">
        <v>1856.6163240000001</v>
      </c>
      <c r="G40" s="27">
        <v>914.19970960000001</v>
      </c>
      <c r="H40" s="27">
        <v>477.0498642</v>
      </c>
      <c r="I40" s="27">
        <v>489.64981799999998</v>
      </c>
      <c r="J40" s="27">
        <v>943.94978160000005</v>
      </c>
      <c r="K40" s="27">
        <v>637.69985789999998</v>
      </c>
      <c r="L40" s="27">
        <v>1115.449705</v>
      </c>
      <c r="M40" s="27">
        <v>0</v>
      </c>
      <c r="N40" s="27">
        <v>1614.482882</v>
      </c>
      <c r="O40" s="27">
        <v>2406.249495</v>
      </c>
      <c r="P40" s="27">
        <v>0</v>
      </c>
      <c r="Q40" s="27">
        <v>485.44987049999997</v>
      </c>
      <c r="R40" s="27">
        <v>808.14982499999996</v>
      </c>
      <c r="S40" s="27">
        <v>351.04993769999999</v>
      </c>
      <c r="T40" s="27">
        <v>107.4499776</v>
      </c>
      <c r="U40" s="27">
        <v>491.74993560000001</v>
      </c>
      <c r="V40" s="27">
        <v>2146.8159390000001</v>
      </c>
      <c r="W40" s="27">
        <v>3382.7493610000001</v>
      </c>
      <c r="X40" s="27">
        <v>4183.0824750000002</v>
      </c>
      <c r="Y40" s="27">
        <v>3726.9157220000002</v>
      </c>
      <c r="Z40" s="27">
        <v>51.799996499999999</v>
      </c>
      <c r="AA40" s="27">
        <v>258.64990829999999</v>
      </c>
      <c r="AB40" s="27">
        <v>0</v>
      </c>
      <c r="AC40" s="27">
        <v>0</v>
      </c>
      <c r="AD40" s="27">
        <v>524.64987959999996</v>
      </c>
      <c r="AE40" s="27">
        <v>409.84991459999998</v>
      </c>
      <c r="AF40" s="27">
        <v>1005.549686</v>
      </c>
      <c r="AG40" s="27">
        <v>540.69987609999998</v>
      </c>
      <c r="AH40" s="27">
        <v>728.34992160000002</v>
      </c>
      <c r="AI40" s="27">
        <v>168.69998670000001</v>
      </c>
      <c r="AJ40" s="27">
        <v>83.299977600000005</v>
      </c>
      <c r="AK40" s="27">
        <v>0</v>
      </c>
    </row>
    <row r="41" spans="1:37" ht="15">
      <c r="A41" s="16">
        <v>45352</v>
      </c>
      <c r="B41" s="27">
        <v>2869.9660909999998</v>
      </c>
      <c r="C41" s="27">
        <v>1051.9330660000001</v>
      </c>
      <c r="D41" s="27">
        <v>0</v>
      </c>
      <c r="E41" s="27">
        <v>1249.4997209999999</v>
      </c>
      <c r="F41" s="27">
        <v>1853.2329910000001</v>
      </c>
      <c r="G41" s="27">
        <v>914.21637699999997</v>
      </c>
      <c r="H41" s="27">
        <v>477.0498642</v>
      </c>
      <c r="I41" s="27">
        <v>489.64981799999998</v>
      </c>
      <c r="J41" s="27">
        <v>943.94978160000005</v>
      </c>
      <c r="K41" s="27">
        <v>637.69985789999998</v>
      </c>
      <c r="L41" s="27">
        <v>1115.449705</v>
      </c>
      <c r="M41" s="27">
        <v>0</v>
      </c>
      <c r="N41" s="27">
        <v>1611.5662159999999</v>
      </c>
      <c r="O41" s="27">
        <v>2406.249495</v>
      </c>
      <c r="P41" s="27">
        <v>0</v>
      </c>
      <c r="Q41" s="27">
        <v>485.44987049999997</v>
      </c>
      <c r="R41" s="27">
        <v>808.14982499999996</v>
      </c>
      <c r="S41" s="27">
        <v>351.04993769999999</v>
      </c>
      <c r="T41" s="27">
        <v>107.4499776</v>
      </c>
      <c r="U41" s="27">
        <v>491.74993560000001</v>
      </c>
      <c r="V41" s="27">
        <v>2135.56594</v>
      </c>
      <c r="W41" s="27">
        <v>3382.7493610000001</v>
      </c>
      <c r="X41" s="27">
        <v>4173.432476</v>
      </c>
      <c r="Y41" s="27">
        <v>3723.5823890000001</v>
      </c>
      <c r="Z41" s="27">
        <v>51.799996499999999</v>
      </c>
      <c r="AA41" s="27">
        <v>258.64990829999999</v>
      </c>
      <c r="AB41" s="27">
        <v>0</v>
      </c>
      <c r="AC41" s="27">
        <v>0</v>
      </c>
      <c r="AD41" s="27">
        <v>524.64987959999996</v>
      </c>
      <c r="AE41" s="27">
        <v>409.84991459999998</v>
      </c>
      <c r="AF41" s="27">
        <v>1005.549686</v>
      </c>
      <c r="AG41" s="27">
        <v>540.01654280000002</v>
      </c>
      <c r="AH41" s="27">
        <v>728.34992160000002</v>
      </c>
      <c r="AI41" s="27">
        <v>168.69998670000001</v>
      </c>
      <c r="AJ41" s="27">
        <v>83.299977600000005</v>
      </c>
      <c r="AK41" s="27">
        <v>0</v>
      </c>
    </row>
    <row r="42" spans="1:37" ht="15">
      <c r="A42" s="16">
        <v>45383</v>
      </c>
      <c r="B42" s="27">
        <v>3016.9327189999999</v>
      </c>
      <c r="C42" s="27">
        <v>1102.566386</v>
      </c>
      <c r="D42" s="27">
        <v>0</v>
      </c>
      <c r="E42" s="27">
        <v>1308.9997069999999</v>
      </c>
      <c r="F42" s="27">
        <v>1945.532974</v>
      </c>
      <c r="G42" s="27">
        <v>957.73302899999999</v>
      </c>
      <c r="H42" s="27">
        <v>763.39975800000002</v>
      </c>
      <c r="I42" s="27">
        <v>1301.2997559999999</v>
      </c>
      <c r="J42" s="27">
        <v>988.89977120000003</v>
      </c>
      <c r="K42" s="27">
        <v>684.19985039999995</v>
      </c>
      <c r="L42" s="27">
        <v>1168.5663569999999</v>
      </c>
      <c r="M42" s="27">
        <v>0</v>
      </c>
      <c r="N42" s="27">
        <v>1618.0995290000001</v>
      </c>
      <c r="O42" s="27">
        <v>2520.832805</v>
      </c>
      <c r="P42" s="27">
        <v>0</v>
      </c>
      <c r="Q42" s="27">
        <v>507.46651559999998</v>
      </c>
      <c r="R42" s="27">
        <v>846.63315</v>
      </c>
      <c r="S42" s="27">
        <v>367.76660140000001</v>
      </c>
      <c r="T42" s="27">
        <v>295.5332732</v>
      </c>
      <c r="U42" s="27">
        <v>677.96652219999999</v>
      </c>
      <c r="V42" s="27">
        <v>2245.4659040000001</v>
      </c>
      <c r="W42" s="27">
        <v>3552.632666</v>
      </c>
      <c r="X42" s="27">
        <v>4391.5657760000004</v>
      </c>
      <c r="Y42" s="27">
        <v>3906.0990080000001</v>
      </c>
      <c r="Z42" s="27">
        <v>54.266663000000001</v>
      </c>
      <c r="AA42" s="27">
        <v>270.96657060000001</v>
      </c>
      <c r="AB42" s="27">
        <v>642.76655740000001</v>
      </c>
      <c r="AC42" s="27">
        <v>0</v>
      </c>
      <c r="AD42" s="27">
        <v>1404.6996879999999</v>
      </c>
      <c r="AE42" s="27">
        <v>429.36657719999999</v>
      </c>
      <c r="AF42" s="27">
        <v>1754.8660950000001</v>
      </c>
      <c r="AG42" s="27">
        <v>566.49987020000003</v>
      </c>
      <c r="AH42" s="27">
        <v>770.36658379999994</v>
      </c>
      <c r="AI42" s="27">
        <v>176.7333194</v>
      </c>
      <c r="AJ42" s="27">
        <v>87.266643200000004</v>
      </c>
      <c r="AK42" s="27">
        <v>0</v>
      </c>
    </row>
    <row r="43" spans="1:37" ht="15">
      <c r="A43" s="16">
        <v>45413</v>
      </c>
      <c r="B43" s="27">
        <v>3010.9327189999999</v>
      </c>
      <c r="C43" s="27">
        <v>1102.183053</v>
      </c>
      <c r="D43" s="27">
        <v>0</v>
      </c>
      <c r="E43" s="27">
        <v>1308.9997069999999</v>
      </c>
      <c r="F43" s="27">
        <v>1942.632975</v>
      </c>
      <c r="G43" s="27">
        <v>957.79969640000002</v>
      </c>
      <c r="H43" s="27">
        <v>763.39975800000002</v>
      </c>
      <c r="I43" s="27">
        <v>1301.2997559999999</v>
      </c>
      <c r="J43" s="27">
        <v>988.89977120000003</v>
      </c>
      <c r="K43" s="27">
        <v>684.19985039999995</v>
      </c>
      <c r="L43" s="27">
        <v>1168.566358</v>
      </c>
      <c r="M43" s="27">
        <v>0</v>
      </c>
      <c r="N43" s="27">
        <v>1616.766196</v>
      </c>
      <c r="O43" s="27">
        <v>2520.832805</v>
      </c>
      <c r="P43" s="27">
        <v>0</v>
      </c>
      <c r="Q43" s="27">
        <v>507.46651559999998</v>
      </c>
      <c r="R43" s="27">
        <v>846.63315</v>
      </c>
      <c r="S43" s="27">
        <v>367.76660140000001</v>
      </c>
      <c r="T43" s="27">
        <v>295.5332732</v>
      </c>
      <c r="U43" s="27">
        <v>677.96652219999999</v>
      </c>
      <c r="V43" s="27">
        <v>2239.5492380000001</v>
      </c>
      <c r="W43" s="27">
        <v>3552.632666</v>
      </c>
      <c r="X43" s="27">
        <v>4382.8324430000002</v>
      </c>
      <c r="Y43" s="27">
        <v>3904.849009</v>
      </c>
      <c r="Z43" s="27">
        <v>54.266663000000001</v>
      </c>
      <c r="AA43" s="27">
        <v>270.96657060000001</v>
      </c>
      <c r="AB43" s="27">
        <v>642.76655740000001</v>
      </c>
      <c r="AC43" s="27">
        <v>0</v>
      </c>
      <c r="AD43" s="27">
        <v>1404.6996879999999</v>
      </c>
      <c r="AE43" s="27">
        <v>429.36657719999999</v>
      </c>
      <c r="AF43" s="27">
        <v>1754.8660950000001</v>
      </c>
      <c r="AG43" s="27">
        <v>565.86653690000003</v>
      </c>
      <c r="AH43" s="27">
        <v>770.36658379999994</v>
      </c>
      <c r="AI43" s="27">
        <v>176.7333194</v>
      </c>
      <c r="AJ43" s="27">
        <v>87.266643200000004</v>
      </c>
      <c r="AK43" s="27">
        <v>0</v>
      </c>
    </row>
    <row r="44" spans="1:37" ht="15">
      <c r="A44" s="16">
        <v>45444</v>
      </c>
      <c r="B44" s="27">
        <v>2722.6661100000001</v>
      </c>
      <c r="C44" s="27">
        <v>1000.999746</v>
      </c>
      <c r="D44" s="27">
        <v>0</v>
      </c>
      <c r="E44" s="27">
        <v>1189.999734</v>
      </c>
      <c r="F44" s="27">
        <v>1758.9996759999999</v>
      </c>
      <c r="G44" s="27">
        <v>870.66639199999997</v>
      </c>
      <c r="H44" s="27">
        <v>693.99977999999999</v>
      </c>
      <c r="I44" s="27">
        <v>1182.9997780000001</v>
      </c>
      <c r="J44" s="27">
        <v>898.99979199999996</v>
      </c>
      <c r="K44" s="27">
        <v>621.999864</v>
      </c>
      <c r="L44" s="27">
        <v>1062.3330539999999</v>
      </c>
      <c r="M44" s="27">
        <v>0</v>
      </c>
      <c r="N44" s="27">
        <v>1465.66624</v>
      </c>
      <c r="O44" s="27">
        <v>2291.6661859999999</v>
      </c>
      <c r="P44" s="27">
        <v>0</v>
      </c>
      <c r="Q44" s="27">
        <v>461.33319599999999</v>
      </c>
      <c r="R44" s="27">
        <v>769.66650000000004</v>
      </c>
      <c r="S44" s="27">
        <v>334.33327400000002</v>
      </c>
      <c r="T44" s="27">
        <v>268.66661199999999</v>
      </c>
      <c r="U44" s="27">
        <v>616.33320200000003</v>
      </c>
      <c r="V44" s="27">
        <v>2009.665978</v>
      </c>
      <c r="W44" s="27">
        <v>3229.66606</v>
      </c>
      <c r="X44" s="27">
        <v>3952.9991920000002</v>
      </c>
      <c r="Y44" s="27">
        <v>3539.3324339999999</v>
      </c>
      <c r="Z44" s="27">
        <v>49.333329999999997</v>
      </c>
      <c r="AA44" s="27">
        <v>246.333246</v>
      </c>
      <c r="AB44" s="27">
        <v>584.33323399999995</v>
      </c>
      <c r="AC44" s="27">
        <v>0</v>
      </c>
      <c r="AD44" s="27">
        <v>1276.999716</v>
      </c>
      <c r="AE44" s="27">
        <v>390.33325200000002</v>
      </c>
      <c r="AF44" s="27">
        <v>1595.3328140000001</v>
      </c>
      <c r="AG44" s="27">
        <v>513.99988199999996</v>
      </c>
      <c r="AH44" s="27">
        <v>700.333258</v>
      </c>
      <c r="AI44" s="27">
        <v>160.66665399999999</v>
      </c>
      <c r="AJ44" s="27">
        <v>79.333312000000006</v>
      </c>
      <c r="AK44" s="27">
        <v>0</v>
      </c>
    </row>
    <row r="45" spans="1:37" ht="15">
      <c r="A45" s="16">
        <v>45474</v>
      </c>
      <c r="B45" s="27">
        <v>2668.9994660000002</v>
      </c>
      <c r="C45" s="27">
        <v>947.66643999999997</v>
      </c>
      <c r="D45" s="27">
        <v>0</v>
      </c>
      <c r="E45" s="27">
        <v>1015.333104</v>
      </c>
      <c r="F45" s="27">
        <v>1431.666422</v>
      </c>
      <c r="G45" s="27">
        <v>753.33309799999995</v>
      </c>
      <c r="H45" s="27">
        <v>454.33320400000002</v>
      </c>
      <c r="I45" s="27">
        <v>466.33316000000002</v>
      </c>
      <c r="J45" s="27">
        <v>898.99978799999997</v>
      </c>
      <c r="K45" s="27">
        <v>621.99986799999999</v>
      </c>
      <c r="L45" s="27">
        <v>1062.3330539999999</v>
      </c>
      <c r="M45" s="27">
        <v>0</v>
      </c>
      <c r="N45" s="27">
        <v>1491.9995839999999</v>
      </c>
      <c r="O45" s="27">
        <v>2231.6661979999999</v>
      </c>
      <c r="P45" s="27">
        <v>0</v>
      </c>
      <c r="Q45" s="27">
        <v>462.33321000000001</v>
      </c>
      <c r="R45" s="27">
        <v>770.66650200000004</v>
      </c>
      <c r="S45" s="27">
        <v>334.33327400000002</v>
      </c>
      <c r="T45" s="27">
        <v>108.999978</v>
      </c>
      <c r="U45" s="27">
        <v>419.66661800000003</v>
      </c>
      <c r="V45" s="27">
        <v>1951.9993280000001</v>
      </c>
      <c r="W45" s="27">
        <v>3137.666056</v>
      </c>
      <c r="X45" s="27">
        <v>3837.3325279999999</v>
      </c>
      <c r="Y45" s="27">
        <v>3482.3324120000002</v>
      </c>
      <c r="Z45" s="27">
        <v>49.333329999999997</v>
      </c>
      <c r="AA45" s="46">
        <v>271</v>
      </c>
      <c r="AB45" s="46">
        <v>643</v>
      </c>
      <c r="AC45" s="27">
        <v>0</v>
      </c>
      <c r="AD45" s="27">
        <v>373.99992600000002</v>
      </c>
      <c r="AE45" s="27">
        <v>390.33325200000002</v>
      </c>
      <c r="AF45" s="27">
        <v>958.99971000000005</v>
      </c>
      <c r="AG45" s="27">
        <v>513.99988199999996</v>
      </c>
      <c r="AH45" s="27">
        <v>643.66659800000002</v>
      </c>
      <c r="AI45" s="27">
        <v>163.999988</v>
      </c>
      <c r="AJ45" s="27">
        <v>79.333312000000006</v>
      </c>
      <c r="AK45" s="27">
        <v>0</v>
      </c>
    </row>
    <row r="46" spans="1:37" ht="15">
      <c r="A46" s="16">
        <v>45505</v>
      </c>
      <c r="B46" s="27">
        <v>3086.7493850000001</v>
      </c>
      <c r="C46" s="27">
        <v>1091.0164050000001</v>
      </c>
      <c r="D46" s="27">
        <v>0</v>
      </c>
      <c r="E46" s="27">
        <v>1167.6330700000001</v>
      </c>
      <c r="F46" s="27">
        <v>1655.116383</v>
      </c>
      <c r="G46" s="27">
        <v>866.33306270000003</v>
      </c>
      <c r="H46" s="27">
        <v>522.48318459999996</v>
      </c>
      <c r="I46" s="27">
        <v>536.28313400000002</v>
      </c>
      <c r="J46" s="27">
        <v>1033.8497560000001</v>
      </c>
      <c r="K46" s="27">
        <v>715.29984820000004</v>
      </c>
      <c r="L46" s="27">
        <v>1221.68301</v>
      </c>
      <c r="M46" s="27">
        <v>0</v>
      </c>
      <c r="N46" s="27">
        <v>1723.29952</v>
      </c>
      <c r="O46" s="27">
        <v>2566.4161279999998</v>
      </c>
      <c r="P46" s="27">
        <v>0</v>
      </c>
      <c r="Q46" s="27">
        <v>531.68319150000002</v>
      </c>
      <c r="R46" s="27">
        <v>886.26647730000002</v>
      </c>
      <c r="S46" s="27">
        <v>384.48326509999998</v>
      </c>
      <c r="T46" s="27">
        <v>125.3499747</v>
      </c>
      <c r="U46" s="27">
        <v>482.61661070000002</v>
      </c>
      <c r="V46" s="27">
        <v>2277.799223</v>
      </c>
      <c r="W46" s="27">
        <v>3608.3159639999999</v>
      </c>
      <c r="X46" s="27">
        <v>4440.2324060000001</v>
      </c>
      <c r="Y46" s="27">
        <v>4015.1822710000001</v>
      </c>
      <c r="Z46" s="27">
        <v>56.733329500000004</v>
      </c>
      <c r="AA46" s="27">
        <v>246.74991449999999</v>
      </c>
      <c r="AB46" s="46">
        <v>643</v>
      </c>
      <c r="AC46" s="27">
        <v>0</v>
      </c>
      <c r="AD46" s="27">
        <v>430.09991489999999</v>
      </c>
      <c r="AE46" s="27">
        <v>448.88323980000001</v>
      </c>
      <c r="AF46" s="27">
        <v>1102.849667</v>
      </c>
      <c r="AG46" s="27">
        <v>591.99986430000001</v>
      </c>
      <c r="AH46" s="27">
        <v>740.21658769999999</v>
      </c>
      <c r="AI46" s="27">
        <v>188.59998619999999</v>
      </c>
      <c r="AJ46" s="27">
        <v>91.233308800000003</v>
      </c>
      <c r="AK46" s="27">
        <v>0</v>
      </c>
    </row>
    <row r="47" spans="1:37" ht="15">
      <c r="A47" s="16">
        <v>45536</v>
      </c>
      <c r="B47" s="27">
        <v>2686.399465</v>
      </c>
      <c r="C47" s="27">
        <v>948.86643879999997</v>
      </c>
      <c r="D47" s="27">
        <v>0</v>
      </c>
      <c r="E47" s="27">
        <v>1015.333104</v>
      </c>
      <c r="F47" s="27">
        <v>1440.3664200000001</v>
      </c>
      <c r="G47" s="27">
        <v>753.33309799999995</v>
      </c>
      <c r="H47" s="27">
        <v>454.33320400000002</v>
      </c>
      <c r="I47" s="27">
        <v>466.33316000000002</v>
      </c>
      <c r="J47" s="27">
        <v>898.99978799999997</v>
      </c>
      <c r="K47" s="27">
        <v>621.99986799999999</v>
      </c>
      <c r="L47" s="27">
        <v>1062.333052</v>
      </c>
      <c r="M47" s="27">
        <v>0</v>
      </c>
      <c r="N47" s="27">
        <v>1499.499583</v>
      </c>
      <c r="O47" s="27">
        <v>2231.6661979999999</v>
      </c>
      <c r="P47" s="27">
        <v>0</v>
      </c>
      <c r="Q47" s="27">
        <v>462.33321000000001</v>
      </c>
      <c r="R47" s="27">
        <v>770.66650200000004</v>
      </c>
      <c r="S47" s="27">
        <v>334.33327400000002</v>
      </c>
      <c r="T47" s="27">
        <v>108.999978</v>
      </c>
      <c r="U47" s="27">
        <v>419.66661800000003</v>
      </c>
      <c r="V47" s="27">
        <v>1984.9993239999999</v>
      </c>
      <c r="W47" s="27">
        <v>3137.666056</v>
      </c>
      <c r="X47" s="27">
        <v>3864.6325270000002</v>
      </c>
      <c r="Y47" s="27">
        <v>3492.83241</v>
      </c>
      <c r="Z47" s="27">
        <v>49.333329999999997</v>
      </c>
      <c r="AA47" s="27">
        <v>221.6999232</v>
      </c>
      <c r="AB47" s="46">
        <v>584</v>
      </c>
      <c r="AC47" s="27">
        <v>0</v>
      </c>
      <c r="AD47" s="27">
        <v>373.99992600000002</v>
      </c>
      <c r="AE47" s="27">
        <v>390.33325200000002</v>
      </c>
      <c r="AF47" s="27">
        <v>958.99971000000005</v>
      </c>
      <c r="AG47" s="27">
        <v>514.89988200000005</v>
      </c>
      <c r="AH47" s="27">
        <v>643.66659800000002</v>
      </c>
      <c r="AI47" s="27">
        <v>163.999988</v>
      </c>
      <c r="AJ47" s="27">
        <v>79.333312000000006</v>
      </c>
      <c r="AK47" s="27">
        <v>0</v>
      </c>
    </row>
    <row r="48" spans="1:37" ht="15">
      <c r="A48" s="16">
        <v>45566</v>
      </c>
      <c r="B48" s="27">
        <v>3007.9660640000002</v>
      </c>
      <c r="C48" s="27">
        <v>1102.0997199999999</v>
      </c>
      <c r="D48" s="27">
        <v>0</v>
      </c>
      <c r="E48" s="27">
        <v>1308.9997069999999</v>
      </c>
      <c r="F48" s="27">
        <v>1942.1496420000001</v>
      </c>
      <c r="G48" s="27">
        <v>957.73302969999997</v>
      </c>
      <c r="H48" s="27">
        <v>499.76652439999998</v>
      </c>
      <c r="I48" s="27">
        <v>512.96647599999994</v>
      </c>
      <c r="J48" s="27">
        <v>988.89977120000003</v>
      </c>
      <c r="K48" s="27">
        <v>668.06651780000004</v>
      </c>
      <c r="L48" s="27">
        <v>1168.566358</v>
      </c>
      <c r="M48" s="27">
        <v>0</v>
      </c>
      <c r="N48" s="27">
        <v>1688.882861</v>
      </c>
      <c r="O48" s="27">
        <v>2520.832805</v>
      </c>
      <c r="P48" s="27">
        <v>0</v>
      </c>
      <c r="Q48" s="27">
        <v>508.566531</v>
      </c>
      <c r="R48" s="27">
        <v>846.63315</v>
      </c>
      <c r="S48" s="27">
        <v>367.76660140000001</v>
      </c>
      <c r="T48" s="27">
        <v>112.5666432</v>
      </c>
      <c r="U48" s="27">
        <v>515.16659919999995</v>
      </c>
      <c r="V48" s="27">
        <v>2238.132572</v>
      </c>
      <c r="W48" s="27">
        <v>3543.832664</v>
      </c>
      <c r="X48" s="27">
        <v>4373.2491010000003</v>
      </c>
      <c r="Y48" s="27">
        <v>3900.9156779999998</v>
      </c>
      <c r="Z48" s="27">
        <v>54.266663000000001</v>
      </c>
      <c r="AA48" s="27">
        <v>270.96657060000001</v>
      </c>
      <c r="AB48" s="46">
        <v>672</v>
      </c>
      <c r="AC48" s="27">
        <v>0</v>
      </c>
      <c r="AD48" s="27">
        <v>549.63320720000002</v>
      </c>
      <c r="AE48" s="27">
        <v>429.36657719999999</v>
      </c>
      <c r="AF48" s="27">
        <v>1053.4330050000001</v>
      </c>
      <c r="AG48" s="27">
        <v>566.14987020000001</v>
      </c>
      <c r="AH48" s="27">
        <v>768.28325059999997</v>
      </c>
      <c r="AI48" s="27">
        <v>176.7333194</v>
      </c>
      <c r="AJ48" s="27">
        <v>87.266643200000004</v>
      </c>
      <c r="AK48" s="27">
        <v>0</v>
      </c>
    </row>
    <row r="49" spans="1:37" ht="15">
      <c r="A49" s="16">
        <v>45597</v>
      </c>
      <c r="B49" s="27">
        <v>2874.7994239999998</v>
      </c>
      <c r="C49" s="27">
        <v>1052.249732</v>
      </c>
      <c r="D49" s="27">
        <v>0</v>
      </c>
      <c r="E49" s="27">
        <v>1249.4997209999999</v>
      </c>
      <c r="F49" s="27">
        <v>1855.6496569999999</v>
      </c>
      <c r="G49" s="27">
        <v>914.19970980000005</v>
      </c>
      <c r="H49" s="27">
        <v>477.0498642</v>
      </c>
      <c r="I49" s="27">
        <v>489.64981799999998</v>
      </c>
      <c r="J49" s="27">
        <v>943.94978160000005</v>
      </c>
      <c r="K49" s="27">
        <v>637.69985789999998</v>
      </c>
      <c r="L49" s="27">
        <v>1115.449705</v>
      </c>
      <c r="M49" s="27">
        <v>0</v>
      </c>
      <c r="N49" s="27">
        <v>1613.649549</v>
      </c>
      <c r="O49" s="27">
        <v>2406.249495</v>
      </c>
      <c r="P49" s="27">
        <v>0</v>
      </c>
      <c r="Q49" s="27">
        <v>485.44987049999997</v>
      </c>
      <c r="R49" s="27">
        <v>808.14982499999996</v>
      </c>
      <c r="S49" s="27">
        <v>351.04993769999999</v>
      </c>
      <c r="T49" s="27">
        <v>107.4499776</v>
      </c>
      <c r="U49" s="27">
        <v>491.74993560000001</v>
      </c>
      <c r="V49" s="27">
        <v>2143.149273</v>
      </c>
      <c r="W49" s="27">
        <v>3382.7493610000001</v>
      </c>
      <c r="X49" s="27">
        <v>4180.0491419999998</v>
      </c>
      <c r="Y49" s="27">
        <v>3725.7490550000002</v>
      </c>
      <c r="Z49" s="27">
        <v>51.799996499999999</v>
      </c>
      <c r="AA49" s="27">
        <v>258.64990829999999</v>
      </c>
      <c r="AB49" s="46">
        <v>584</v>
      </c>
      <c r="AC49" s="27">
        <v>0</v>
      </c>
      <c r="AD49" s="27">
        <v>524.64987959999996</v>
      </c>
      <c r="AE49" s="27">
        <v>409.84991459999998</v>
      </c>
      <c r="AF49" s="27">
        <v>1005.549686</v>
      </c>
      <c r="AG49" s="27">
        <v>540.59987609999996</v>
      </c>
      <c r="AH49" s="27">
        <v>730.09992139999997</v>
      </c>
      <c r="AI49" s="27">
        <v>168.69998670000001</v>
      </c>
      <c r="AJ49" s="27">
        <v>83.299977600000005</v>
      </c>
      <c r="AK49" s="27">
        <v>0</v>
      </c>
    </row>
    <row r="50" spans="1:37" ht="15">
      <c r="A50" s="16">
        <v>45627</v>
      </c>
      <c r="B50" s="27">
        <v>2733.8994520000001</v>
      </c>
      <c r="C50" s="27">
        <v>1001.883078</v>
      </c>
      <c r="D50" s="27">
        <v>0</v>
      </c>
      <c r="E50" s="27">
        <v>1189.999734</v>
      </c>
      <c r="F50" s="27">
        <v>1765.2830080000001</v>
      </c>
      <c r="G50" s="27">
        <v>870.73305749999997</v>
      </c>
      <c r="H50" s="27">
        <v>454.33320400000002</v>
      </c>
      <c r="I50" s="27">
        <v>466.33316000000002</v>
      </c>
      <c r="J50" s="27">
        <v>898.99979199999996</v>
      </c>
      <c r="K50" s="27">
        <v>607.33319800000004</v>
      </c>
      <c r="L50" s="27">
        <v>1062.3330530000001</v>
      </c>
      <c r="M50" s="27">
        <v>0</v>
      </c>
      <c r="N50" s="27">
        <v>1535.0829040000001</v>
      </c>
      <c r="O50" s="27">
        <v>2291.6661859999999</v>
      </c>
      <c r="P50" s="27">
        <v>0</v>
      </c>
      <c r="Q50" s="27">
        <v>462.33321000000001</v>
      </c>
      <c r="R50" s="27">
        <v>769.66650000000004</v>
      </c>
      <c r="S50" s="27">
        <v>334.33327400000002</v>
      </c>
      <c r="T50" s="27">
        <v>102.33331200000001</v>
      </c>
      <c r="U50" s="27">
        <v>468.33327200000002</v>
      </c>
      <c r="V50" s="27">
        <v>2037.332641</v>
      </c>
      <c r="W50" s="27">
        <v>3221.6660579999998</v>
      </c>
      <c r="X50" s="27">
        <v>3977.3325159999999</v>
      </c>
      <c r="Y50" s="27">
        <v>3548.1657679999998</v>
      </c>
      <c r="Z50" s="27">
        <v>49.333329999999997</v>
      </c>
      <c r="AA50" s="27">
        <v>246.333246</v>
      </c>
      <c r="AB50" s="46">
        <v>614</v>
      </c>
      <c r="AC50" s="27">
        <v>0</v>
      </c>
      <c r="AD50" s="27">
        <v>499.66655200000002</v>
      </c>
      <c r="AE50" s="27">
        <v>390.33325200000002</v>
      </c>
      <c r="AF50" s="27">
        <v>957.66636800000003</v>
      </c>
      <c r="AG50" s="27">
        <v>514.3165487</v>
      </c>
      <c r="AH50" s="27">
        <v>693.66659200000004</v>
      </c>
      <c r="AI50" s="27">
        <v>160.66665399999999</v>
      </c>
      <c r="AJ50" s="27">
        <v>79.333312000000006</v>
      </c>
      <c r="AK50" s="27">
        <v>0</v>
      </c>
    </row>
    <row r="52" spans="1:37">
      <c r="H52" s="26"/>
      <c r="I52" s="6"/>
    </row>
    <row r="53" spans="1:37">
      <c r="H53" s="26"/>
      <c r="I53" s="7"/>
    </row>
    <row r="54" spans="1:37">
      <c r="H54" s="26"/>
      <c r="I54" s="7"/>
    </row>
    <row r="55" spans="1:37">
      <c r="H55" s="26"/>
      <c r="I55" s="7"/>
    </row>
    <row r="56" spans="1:37">
      <c r="H56" s="26"/>
      <c r="I56" s="6"/>
    </row>
    <row r="57" spans="1:37">
      <c r="H57" s="26"/>
      <c r="I57" s="7"/>
    </row>
    <row r="58" spans="1:37">
      <c r="H58" s="26"/>
      <c r="I58" s="7"/>
    </row>
    <row r="59" spans="1:37">
      <c r="H59" s="26"/>
      <c r="I59" s="7"/>
    </row>
    <row r="60" spans="1:37">
      <c r="H60" s="26"/>
      <c r="I60" s="7"/>
    </row>
    <row r="61" spans="1:37">
      <c r="H61" s="26"/>
      <c r="I61" s="7"/>
    </row>
    <row r="62" spans="1:37">
      <c r="H62" s="26"/>
      <c r="I62" s="7"/>
    </row>
    <row r="63" spans="1:37">
      <c r="H63" s="26"/>
      <c r="I63" s="7"/>
    </row>
    <row r="64" spans="1:37">
      <c r="H64" s="26"/>
      <c r="I64" s="6"/>
    </row>
    <row r="65" spans="4:21">
      <c r="H65" s="26"/>
      <c r="I65" s="6"/>
    </row>
    <row r="66" spans="4:21">
      <c r="H66" s="26"/>
      <c r="I66" s="7"/>
    </row>
    <row r="67" spans="4:21">
      <c r="H67" s="26"/>
      <c r="I67" s="7"/>
    </row>
    <row r="68" spans="4:21">
      <c r="H68" s="26"/>
      <c r="I68" s="7"/>
    </row>
    <row r="69" spans="4:21">
      <c r="H69" s="26"/>
      <c r="I69" s="7"/>
    </row>
    <row r="70" spans="4:21">
      <c r="H70" s="26"/>
      <c r="I70" s="7"/>
    </row>
    <row r="71" spans="4:21">
      <c r="H71" s="26"/>
      <c r="I71" s="6"/>
    </row>
    <row r="72" spans="4:21">
      <c r="H72" s="26"/>
      <c r="I72" s="6"/>
    </row>
    <row r="73" spans="4:21">
      <c r="D73" s="7"/>
      <c r="E73" s="7"/>
      <c r="F73" s="7"/>
      <c r="G73" s="7"/>
      <c r="H73" s="26"/>
      <c r="I73" s="6"/>
      <c r="J73" s="7"/>
      <c r="K73" s="7"/>
      <c r="L73" s="7"/>
      <c r="M73" s="6"/>
      <c r="N73" s="6"/>
      <c r="O73" s="6"/>
      <c r="P73" s="7"/>
      <c r="Q73" s="7"/>
      <c r="R73" s="7"/>
      <c r="S73" s="6"/>
      <c r="T73" s="6"/>
      <c r="U73" s="6"/>
    </row>
    <row r="74" spans="4:21">
      <c r="D74" s="7"/>
      <c r="E74" s="7"/>
      <c r="F74" s="7"/>
      <c r="G74" s="7"/>
      <c r="H74" s="2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6"/>
    </row>
    <row r="75" spans="4:21">
      <c r="D75" s="7"/>
      <c r="E75" s="7"/>
      <c r="F75" s="7"/>
      <c r="G75" s="6"/>
      <c r="H75" s="26"/>
      <c r="I75" s="7"/>
      <c r="J75" s="7"/>
      <c r="K75" s="7"/>
      <c r="L75" s="7"/>
      <c r="M75" s="6"/>
      <c r="N75" s="6"/>
      <c r="O75" s="6"/>
      <c r="P75" s="7"/>
      <c r="Q75" s="7"/>
      <c r="R75" s="7"/>
      <c r="S75" s="7"/>
      <c r="T75" s="7"/>
      <c r="U75" s="7"/>
    </row>
    <row r="76" spans="4:21">
      <c r="D76" s="7"/>
      <c r="E76" s="7"/>
      <c r="F76" s="7"/>
      <c r="G76" s="7"/>
      <c r="H76" s="26"/>
      <c r="I76" s="7"/>
      <c r="J76" s="7"/>
      <c r="K76" s="7"/>
      <c r="L76" s="7"/>
      <c r="M76" s="7"/>
      <c r="N76" s="7"/>
      <c r="O76" s="7"/>
      <c r="P76" s="7"/>
      <c r="Q76" s="7"/>
      <c r="R76" s="7"/>
      <c r="S76" s="6"/>
      <c r="T76" s="6"/>
      <c r="U76" s="6"/>
    </row>
    <row r="77" spans="4:21">
      <c r="D77" s="7"/>
      <c r="E77" s="7"/>
      <c r="F77" s="7"/>
      <c r="G77" s="6"/>
      <c r="H77" s="26"/>
      <c r="I77" s="7"/>
      <c r="J77" s="7"/>
      <c r="K77" s="7"/>
      <c r="L77" s="7"/>
      <c r="M77" s="6"/>
      <c r="N77" s="6"/>
      <c r="O77" s="6"/>
      <c r="P77" s="7"/>
      <c r="Q77" s="7"/>
      <c r="R77" s="7"/>
      <c r="S77" s="6"/>
      <c r="T77" s="6"/>
      <c r="U77" s="6"/>
    </row>
    <row r="78" spans="4:21">
      <c r="D78" s="7"/>
      <c r="E78" s="7"/>
      <c r="F78" s="7"/>
      <c r="G78" s="6"/>
      <c r="H78" s="26"/>
      <c r="I78" s="7"/>
      <c r="J78" s="7"/>
      <c r="K78" s="7"/>
      <c r="L78" s="7"/>
      <c r="M78" s="6"/>
      <c r="N78" s="6"/>
      <c r="O78" s="6"/>
      <c r="P78" s="7"/>
      <c r="Q78" s="7"/>
      <c r="R78" s="7"/>
      <c r="S78" s="6"/>
      <c r="T78" s="6"/>
      <c r="U78" s="6"/>
    </row>
    <row r="79" spans="4:21">
      <c r="D79" s="7"/>
      <c r="E79" s="7"/>
      <c r="F79" s="7"/>
      <c r="G79" s="7"/>
      <c r="H79" s="2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4:21">
      <c r="D80" s="7"/>
      <c r="E80" s="7"/>
      <c r="F80" s="7"/>
      <c r="G80" s="7"/>
      <c r="H80" s="2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4:21">
      <c r="D81" s="7"/>
      <c r="E81" s="7"/>
      <c r="F81" s="7"/>
      <c r="G81" s="7"/>
      <c r="H81" s="2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4:21">
      <c r="D82" s="7"/>
      <c r="E82" s="7"/>
      <c r="F82" s="7"/>
      <c r="G82" s="7"/>
      <c r="H82" s="2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6"/>
    </row>
    <row r="83" spans="4:21">
      <c r="D83" s="7"/>
      <c r="E83" s="7"/>
      <c r="F83" s="7"/>
      <c r="G83" s="7"/>
      <c r="H83" s="2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4:21">
      <c r="D84" s="7"/>
      <c r="E84" s="7"/>
      <c r="F84" s="7"/>
      <c r="G84" s="7"/>
      <c r="H84" s="26"/>
      <c r="I84" s="7"/>
      <c r="J84" s="7"/>
      <c r="K84" s="7"/>
      <c r="L84" s="7"/>
      <c r="M84" s="7"/>
      <c r="N84" s="7"/>
      <c r="O84" s="7"/>
      <c r="P84" s="7"/>
      <c r="Q84" s="7"/>
      <c r="R84" s="7"/>
      <c r="S84" s="6"/>
      <c r="T84" s="6"/>
      <c r="U84" s="6"/>
    </row>
    <row r="85" spans="4:21">
      <c r="D85" s="7"/>
      <c r="E85" s="7"/>
      <c r="F85" s="7"/>
      <c r="G85" s="7"/>
      <c r="H85" s="2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4:21">
      <c r="D86" s="6"/>
      <c r="E86" s="6"/>
      <c r="F86" s="6"/>
      <c r="G86" s="6"/>
      <c r="H86" s="6"/>
      <c r="I86" s="6"/>
      <c r="J86" s="7"/>
      <c r="K86" s="7"/>
      <c r="L86" s="7"/>
      <c r="M86" s="6"/>
      <c r="N86" s="6"/>
      <c r="O86" s="6"/>
      <c r="P86" s="7"/>
      <c r="Q86" s="7"/>
      <c r="R86" s="7"/>
      <c r="S86" s="6"/>
      <c r="T86" s="6"/>
      <c r="U86" s="6"/>
    </row>
    <row r="87" spans="4:21">
      <c r="D87" s="6"/>
      <c r="E87" s="6"/>
      <c r="F87" s="6"/>
      <c r="G87" s="6"/>
      <c r="H87" s="6"/>
      <c r="I87" s="6"/>
      <c r="J87" s="7"/>
      <c r="K87" s="7"/>
      <c r="L87" s="7"/>
      <c r="M87" s="6"/>
      <c r="N87" s="6"/>
      <c r="O87" s="6"/>
      <c r="P87" s="7"/>
      <c r="Q87" s="7"/>
      <c r="R87" s="7"/>
      <c r="S87" s="6"/>
      <c r="T87" s="6"/>
      <c r="U87" s="6"/>
    </row>
    <row r="88" spans="4:21"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4:21"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4:21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4:21"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4:21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4:21"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4:21">
      <c r="D94" s="6"/>
      <c r="E94" s="6"/>
      <c r="F94" s="6"/>
      <c r="G94" s="6"/>
      <c r="H94" s="6"/>
      <c r="I94" s="6"/>
      <c r="J94" s="7"/>
      <c r="K94" s="7"/>
      <c r="L94" s="7"/>
      <c r="M94" s="6"/>
      <c r="N94" s="6"/>
      <c r="O94" s="6"/>
      <c r="P94" s="7"/>
      <c r="Q94" s="7"/>
      <c r="R94" s="7"/>
      <c r="S94" s="6"/>
      <c r="T94" s="6"/>
      <c r="U94" s="6"/>
    </row>
    <row r="95" spans="4:21">
      <c r="D95" s="6"/>
      <c r="E95" s="6"/>
      <c r="F95" s="6"/>
      <c r="G95" s="6"/>
      <c r="H95" s="6"/>
      <c r="I95" s="6"/>
      <c r="J95" s="7"/>
      <c r="K95" s="7"/>
      <c r="L95" s="7"/>
      <c r="M95" s="6"/>
      <c r="N95" s="6"/>
      <c r="O95" s="6"/>
      <c r="P95" s="7"/>
      <c r="Q95" s="7"/>
      <c r="R95" s="7"/>
      <c r="S95" s="6"/>
      <c r="T95" s="6"/>
      <c r="U95" s="6"/>
    </row>
    <row r="96" spans="4:21">
      <c r="D96" s="6"/>
      <c r="E96" s="6"/>
      <c r="F96" s="6"/>
      <c r="G96" s="6"/>
      <c r="H96" s="6"/>
      <c r="I96" s="6"/>
      <c r="J96" s="7"/>
      <c r="K96" s="7"/>
      <c r="L96" s="7"/>
      <c r="M96" s="6"/>
      <c r="N96" s="6"/>
      <c r="O96" s="6"/>
      <c r="P96" s="7"/>
      <c r="Q96" s="7"/>
      <c r="R96" s="7"/>
      <c r="S96" s="6"/>
      <c r="T96" s="6"/>
      <c r="U96" s="6"/>
    </row>
    <row r="97" spans="4:21">
      <c r="D97" s="6"/>
      <c r="E97" s="6"/>
      <c r="F97" s="6"/>
      <c r="G97" s="6"/>
      <c r="H97" s="6"/>
      <c r="I97" s="6"/>
      <c r="J97" s="7"/>
      <c r="K97" s="7"/>
      <c r="L97" s="7"/>
      <c r="M97" s="6"/>
      <c r="N97" s="6"/>
      <c r="O97" s="6"/>
      <c r="P97" s="7"/>
      <c r="Q97" s="7"/>
      <c r="R97" s="7"/>
      <c r="S97" s="6"/>
      <c r="T97" s="6"/>
      <c r="U97" s="6"/>
    </row>
    <row r="98" spans="4:21"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4:21"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4:21"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4:21"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4:21"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4:21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4:21"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4:21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4:21"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4:21"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4:21"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4:21"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DC59-6C1C-433F-98CC-D444BCA4FC19}">
  <dimension ref="A1:AM204"/>
  <sheetViews>
    <sheetView workbookViewId="0">
      <pane xSplit="1" topLeftCell="B1" activePane="topRight" state="frozen"/>
      <selection pane="topRight" activeCell="I16" sqref="I16"/>
    </sheetView>
  </sheetViews>
  <sheetFormatPr defaultRowHeight="14.25"/>
  <sheetData>
    <row r="1" spans="1:39">
      <c r="A1" s="65" t="s">
        <v>5</v>
      </c>
      <c r="B1" s="65"/>
      <c r="C1" s="65"/>
      <c r="D1" s="65"/>
      <c r="E1" s="65"/>
      <c r="F1" s="65"/>
      <c r="G1" s="65"/>
      <c r="H1" s="65"/>
    </row>
    <row r="2" spans="1:39">
      <c r="A2" s="65"/>
      <c r="B2" s="65"/>
      <c r="C2" s="65"/>
      <c r="D2" s="65"/>
      <c r="E2" s="65"/>
      <c r="F2" s="65"/>
      <c r="G2" s="65"/>
      <c r="H2" s="65"/>
    </row>
    <row r="3" spans="1:39" ht="15">
      <c r="A3" s="24" t="s">
        <v>1</v>
      </c>
      <c r="B3" s="29">
        <v>3</v>
      </c>
      <c r="C3" s="29">
        <v>4</v>
      </c>
      <c r="D3" s="29">
        <v>5</v>
      </c>
      <c r="E3" s="34">
        <v>6</v>
      </c>
      <c r="F3" s="29">
        <v>7</v>
      </c>
      <c r="G3" s="29">
        <v>8</v>
      </c>
      <c r="H3" s="38">
        <v>9</v>
      </c>
      <c r="I3" s="29">
        <v>14</v>
      </c>
      <c r="J3" s="29">
        <v>17</v>
      </c>
      <c r="K3" s="29">
        <v>18</v>
      </c>
      <c r="L3" s="29">
        <v>19</v>
      </c>
      <c r="M3" s="34">
        <v>21</v>
      </c>
      <c r="N3" s="29">
        <v>22</v>
      </c>
      <c r="O3" s="29">
        <v>23</v>
      </c>
      <c r="P3" s="34">
        <v>25</v>
      </c>
      <c r="Q3" s="29">
        <v>28</v>
      </c>
      <c r="R3" s="29">
        <v>29</v>
      </c>
      <c r="S3" s="29">
        <v>34</v>
      </c>
      <c r="T3" s="38">
        <v>41</v>
      </c>
      <c r="U3" s="29">
        <v>42</v>
      </c>
      <c r="V3" s="29">
        <v>50</v>
      </c>
      <c r="W3" s="29">
        <v>52</v>
      </c>
      <c r="X3" s="29">
        <v>55</v>
      </c>
      <c r="Y3" s="29">
        <v>56</v>
      </c>
      <c r="Z3" s="38">
        <v>64</v>
      </c>
      <c r="AA3" s="38">
        <v>70</v>
      </c>
      <c r="AB3" s="34">
        <v>71</v>
      </c>
      <c r="AC3" s="34">
        <v>72</v>
      </c>
      <c r="AD3" s="34">
        <v>75</v>
      </c>
      <c r="AE3" s="29">
        <v>76</v>
      </c>
      <c r="AF3" s="34">
        <v>77</v>
      </c>
      <c r="AG3" s="34">
        <v>79</v>
      </c>
      <c r="AH3" s="34">
        <v>84</v>
      </c>
      <c r="AI3" s="38">
        <v>86</v>
      </c>
      <c r="AJ3" s="38">
        <v>93</v>
      </c>
      <c r="AK3" s="38">
        <v>96</v>
      </c>
      <c r="AL3" s="4">
        <v>97</v>
      </c>
      <c r="AM3" s="4" t="s">
        <v>2</v>
      </c>
    </row>
    <row r="4" spans="1:39" ht="15">
      <c r="A4" s="1" t="s">
        <v>0</v>
      </c>
    </row>
    <row r="5" spans="1:39" ht="15">
      <c r="A5" s="16">
        <v>44197</v>
      </c>
      <c r="B5">
        <v>367.02</v>
      </c>
      <c r="C5">
        <v>375</v>
      </c>
      <c r="D5">
        <v>480.96</v>
      </c>
      <c r="E5">
        <v>134.58000000000001</v>
      </c>
      <c r="F5">
        <v>366.24</v>
      </c>
      <c r="G5">
        <v>197.04</v>
      </c>
      <c r="H5" s="39">
        <v>0</v>
      </c>
      <c r="I5">
        <v>175.2</v>
      </c>
      <c r="J5">
        <v>265.98</v>
      </c>
      <c r="K5">
        <v>206.28</v>
      </c>
      <c r="L5">
        <v>378.18</v>
      </c>
      <c r="M5">
        <v>184.68</v>
      </c>
      <c r="N5">
        <v>447.96</v>
      </c>
      <c r="O5">
        <v>404.34</v>
      </c>
      <c r="P5">
        <v>344.4</v>
      </c>
      <c r="Q5">
        <v>197.4</v>
      </c>
      <c r="R5">
        <v>357.48</v>
      </c>
      <c r="S5">
        <v>239.51999999999998</v>
      </c>
      <c r="T5" s="47">
        <v>0</v>
      </c>
      <c r="U5">
        <v>157.26</v>
      </c>
      <c r="V5">
        <v>568.5</v>
      </c>
      <c r="W5">
        <v>1070.6999999999998</v>
      </c>
      <c r="X5">
        <v>1091.04</v>
      </c>
      <c r="Y5">
        <v>1062.24</v>
      </c>
      <c r="Z5">
        <v>0</v>
      </c>
      <c r="AA5">
        <v>0</v>
      </c>
      <c r="AB5">
        <v>0</v>
      </c>
      <c r="AC5">
        <v>75.84</v>
      </c>
      <c r="AD5">
        <v>0</v>
      </c>
      <c r="AE5">
        <v>110.4</v>
      </c>
      <c r="AF5">
        <v>53.7</v>
      </c>
      <c r="AG5">
        <v>0</v>
      </c>
      <c r="AH5" s="39">
        <v>0</v>
      </c>
      <c r="AI5" s="47">
        <v>0</v>
      </c>
      <c r="AJ5" s="47">
        <v>0</v>
      </c>
      <c r="AK5" s="47">
        <v>0</v>
      </c>
      <c r="AL5">
        <v>0</v>
      </c>
    </row>
    <row r="6" spans="1:39" ht="15">
      <c r="A6" s="16">
        <v>44228</v>
      </c>
      <c r="B6">
        <v>244.68</v>
      </c>
      <c r="C6">
        <v>250</v>
      </c>
      <c r="D6">
        <v>320.64</v>
      </c>
      <c r="E6">
        <v>89.72</v>
      </c>
      <c r="F6">
        <v>244.16</v>
      </c>
      <c r="G6">
        <v>131.36000000000001</v>
      </c>
      <c r="H6" s="39">
        <v>0</v>
      </c>
      <c r="I6">
        <v>116.8</v>
      </c>
      <c r="J6">
        <v>177.32</v>
      </c>
      <c r="K6">
        <v>137.52000000000001</v>
      </c>
      <c r="L6">
        <v>252.12</v>
      </c>
      <c r="M6">
        <v>123.12</v>
      </c>
      <c r="N6">
        <v>298.64</v>
      </c>
      <c r="O6">
        <v>269.56</v>
      </c>
      <c r="P6">
        <v>229.6</v>
      </c>
      <c r="Q6">
        <v>131.6</v>
      </c>
      <c r="R6">
        <v>238.32</v>
      </c>
      <c r="S6">
        <v>159.68</v>
      </c>
      <c r="T6" s="47">
        <v>0</v>
      </c>
      <c r="U6">
        <v>104.84</v>
      </c>
      <c r="V6">
        <v>379</v>
      </c>
      <c r="W6">
        <v>713.8</v>
      </c>
      <c r="X6">
        <v>727.36</v>
      </c>
      <c r="Y6">
        <v>708.16</v>
      </c>
      <c r="Z6">
        <v>0</v>
      </c>
      <c r="AA6">
        <v>0</v>
      </c>
      <c r="AB6">
        <v>0</v>
      </c>
      <c r="AC6">
        <v>50.56</v>
      </c>
      <c r="AD6">
        <v>0</v>
      </c>
      <c r="AE6">
        <v>73.599999999999994</v>
      </c>
      <c r="AF6">
        <v>35.799999999999997</v>
      </c>
      <c r="AG6">
        <v>0</v>
      </c>
      <c r="AH6" s="39">
        <v>0</v>
      </c>
      <c r="AI6" s="47">
        <v>0</v>
      </c>
      <c r="AJ6" s="47">
        <v>0</v>
      </c>
      <c r="AK6" s="47">
        <v>0</v>
      </c>
      <c r="AL6">
        <v>0</v>
      </c>
    </row>
    <row r="7" spans="1:39" ht="15">
      <c r="A7" s="16">
        <v>44256</v>
      </c>
      <c r="B7">
        <v>244.68</v>
      </c>
      <c r="C7">
        <v>250</v>
      </c>
      <c r="D7">
        <v>320.64</v>
      </c>
      <c r="E7">
        <v>89.72</v>
      </c>
      <c r="F7">
        <v>244.16</v>
      </c>
      <c r="G7">
        <v>131.36000000000001</v>
      </c>
      <c r="H7" s="39">
        <v>0</v>
      </c>
      <c r="I7">
        <v>116.8</v>
      </c>
      <c r="J7">
        <v>177.32</v>
      </c>
      <c r="K7">
        <v>137.52000000000001</v>
      </c>
      <c r="L7">
        <v>252.12</v>
      </c>
      <c r="M7">
        <v>123.12</v>
      </c>
      <c r="N7">
        <v>298.64</v>
      </c>
      <c r="O7">
        <v>269.56</v>
      </c>
      <c r="P7">
        <v>229.6</v>
      </c>
      <c r="Q7">
        <v>131.6</v>
      </c>
      <c r="R7">
        <v>238.32</v>
      </c>
      <c r="S7">
        <v>159.68</v>
      </c>
      <c r="T7" s="47">
        <v>0</v>
      </c>
      <c r="U7">
        <v>104.84</v>
      </c>
      <c r="V7">
        <v>379</v>
      </c>
      <c r="W7">
        <v>713.8</v>
      </c>
      <c r="X7">
        <v>727.36</v>
      </c>
      <c r="Y7">
        <v>708.16</v>
      </c>
      <c r="Z7">
        <v>0</v>
      </c>
      <c r="AA7">
        <v>0</v>
      </c>
      <c r="AB7">
        <v>0</v>
      </c>
      <c r="AC7">
        <v>50.56</v>
      </c>
      <c r="AD7">
        <v>0</v>
      </c>
      <c r="AE7">
        <v>73.599999999999994</v>
      </c>
      <c r="AF7">
        <v>35.799999999999997</v>
      </c>
      <c r="AG7">
        <v>0</v>
      </c>
      <c r="AH7" s="39">
        <v>0</v>
      </c>
      <c r="AI7" s="47">
        <v>0</v>
      </c>
      <c r="AJ7" s="47">
        <v>0</v>
      </c>
      <c r="AK7" s="47">
        <v>0</v>
      </c>
      <c r="AL7">
        <v>0</v>
      </c>
    </row>
    <row r="8" spans="1:39" ht="15">
      <c r="A8" s="16">
        <v>44287</v>
      </c>
      <c r="B8">
        <v>244.68</v>
      </c>
      <c r="C8">
        <v>250</v>
      </c>
      <c r="D8">
        <v>320.64</v>
      </c>
      <c r="E8">
        <v>157.01</v>
      </c>
      <c r="F8">
        <v>244.16</v>
      </c>
      <c r="G8">
        <v>131.36000000000001</v>
      </c>
      <c r="H8" s="39">
        <v>0</v>
      </c>
      <c r="I8">
        <v>117.03999999999999</v>
      </c>
      <c r="J8">
        <v>177.32</v>
      </c>
      <c r="K8">
        <v>137.52000000000001</v>
      </c>
      <c r="L8">
        <v>251.47000000000003</v>
      </c>
      <c r="M8">
        <v>85.22</v>
      </c>
      <c r="N8">
        <v>298.57</v>
      </c>
      <c r="O8">
        <v>402.54999999999995</v>
      </c>
      <c r="P8">
        <v>124.08000000000001</v>
      </c>
      <c r="Q8">
        <v>131.6</v>
      </c>
      <c r="R8">
        <v>238.32</v>
      </c>
      <c r="S8">
        <v>144.62</v>
      </c>
      <c r="T8" s="47">
        <v>0</v>
      </c>
      <c r="U8">
        <v>104.84</v>
      </c>
      <c r="V8">
        <v>379</v>
      </c>
      <c r="W8">
        <v>713.8</v>
      </c>
      <c r="X8">
        <v>727.36</v>
      </c>
      <c r="Y8">
        <v>708.16</v>
      </c>
      <c r="Z8">
        <v>0</v>
      </c>
      <c r="AA8">
        <v>0</v>
      </c>
      <c r="AB8">
        <v>0</v>
      </c>
      <c r="AC8">
        <v>25.28</v>
      </c>
      <c r="AD8">
        <v>0</v>
      </c>
      <c r="AE8">
        <v>73.599999999999994</v>
      </c>
      <c r="AF8">
        <v>42.56</v>
      </c>
      <c r="AG8">
        <v>0</v>
      </c>
      <c r="AH8" s="39">
        <v>0</v>
      </c>
      <c r="AI8" s="47">
        <v>0</v>
      </c>
      <c r="AJ8" s="47">
        <v>0</v>
      </c>
      <c r="AK8" s="47">
        <v>0</v>
      </c>
      <c r="AL8">
        <v>0</v>
      </c>
    </row>
    <row r="9" spans="1:39" ht="15">
      <c r="A9" s="16">
        <v>44317</v>
      </c>
      <c r="B9">
        <v>335.33</v>
      </c>
      <c r="C9">
        <v>343.25</v>
      </c>
      <c r="D9">
        <v>440.5</v>
      </c>
      <c r="E9">
        <v>246.73000000000002</v>
      </c>
      <c r="F9">
        <v>335.26</v>
      </c>
      <c r="G9">
        <v>180.12</v>
      </c>
      <c r="H9" s="39">
        <v>0</v>
      </c>
      <c r="I9">
        <v>159.36000000000001</v>
      </c>
      <c r="J9">
        <v>238.7</v>
      </c>
      <c r="K9">
        <v>189.09</v>
      </c>
      <c r="L9">
        <v>343.75</v>
      </c>
      <c r="M9">
        <v>59.15</v>
      </c>
      <c r="N9">
        <v>404.17</v>
      </c>
      <c r="O9">
        <v>662.94</v>
      </c>
      <c r="P9">
        <v>93.3</v>
      </c>
      <c r="Q9">
        <v>180.45</v>
      </c>
      <c r="R9">
        <v>327.13</v>
      </c>
      <c r="S9">
        <v>178.8</v>
      </c>
      <c r="T9" s="47">
        <v>0</v>
      </c>
      <c r="U9">
        <v>143.83999999999997</v>
      </c>
      <c r="V9">
        <v>504.68000000000006</v>
      </c>
      <c r="W9">
        <v>979.56999999999994</v>
      </c>
      <c r="X9">
        <v>998.07</v>
      </c>
      <c r="Y9">
        <v>971.89</v>
      </c>
      <c r="Z9">
        <v>0</v>
      </c>
      <c r="AA9">
        <v>0</v>
      </c>
      <c r="AB9">
        <v>0</v>
      </c>
      <c r="AC9">
        <v>0</v>
      </c>
      <c r="AD9">
        <v>0</v>
      </c>
      <c r="AE9">
        <v>101.2</v>
      </c>
      <c r="AF9">
        <v>61.65</v>
      </c>
      <c r="AG9">
        <v>0</v>
      </c>
      <c r="AH9" s="39">
        <v>0</v>
      </c>
      <c r="AI9" s="47">
        <v>0</v>
      </c>
      <c r="AJ9" s="47">
        <v>0</v>
      </c>
      <c r="AK9">
        <v>0</v>
      </c>
      <c r="AL9">
        <v>0</v>
      </c>
    </row>
    <row r="10" spans="1:39" ht="15">
      <c r="A10" s="16">
        <v>44348</v>
      </c>
      <c r="B10">
        <v>244.68</v>
      </c>
      <c r="C10">
        <v>250</v>
      </c>
      <c r="D10">
        <v>320.64</v>
      </c>
      <c r="E10">
        <v>179.44</v>
      </c>
      <c r="F10">
        <v>244.16</v>
      </c>
      <c r="G10">
        <v>131.36000000000001</v>
      </c>
      <c r="H10" s="39">
        <v>0</v>
      </c>
      <c r="I10">
        <v>117.2</v>
      </c>
      <c r="J10">
        <v>177.32</v>
      </c>
      <c r="K10">
        <v>137.52000000000001</v>
      </c>
      <c r="L10">
        <v>251.07999999999998</v>
      </c>
      <c r="M10">
        <v>47.32</v>
      </c>
      <c r="N10">
        <v>298.52</v>
      </c>
      <c r="O10">
        <v>482.96000000000004</v>
      </c>
      <c r="P10">
        <v>74.64</v>
      </c>
      <c r="Q10">
        <v>131.6</v>
      </c>
      <c r="R10">
        <v>238.32</v>
      </c>
      <c r="S10">
        <v>130.4</v>
      </c>
      <c r="T10" s="47">
        <v>0</v>
      </c>
      <c r="U10">
        <v>104.84</v>
      </c>
      <c r="V10">
        <v>379</v>
      </c>
      <c r="W10">
        <v>713.8</v>
      </c>
      <c r="X10">
        <v>727.36</v>
      </c>
      <c r="Y10">
        <v>708.16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73.599999999999994</v>
      </c>
      <c r="AF10">
        <v>49.32</v>
      </c>
      <c r="AG10">
        <v>0</v>
      </c>
      <c r="AH10" s="39">
        <v>0</v>
      </c>
      <c r="AI10" s="47">
        <v>0</v>
      </c>
      <c r="AJ10" s="47">
        <v>0</v>
      </c>
      <c r="AK10">
        <v>0</v>
      </c>
      <c r="AL10">
        <v>0</v>
      </c>
    </row>
    <row r="11" spans="1:39" ht="15">
      <c r="A11" s="16">
        <v>44378</v>
      </c>
      <c r="B11">
        <v>305.85000000000002</v>
      </c>
      <c r="C11">
        <v>312.5</v>
      </c>
      <c r="D11">
        <v>400.8</v>
      </c>
      <c r="E11">
        <v>224.3</v>
      </c>
      <c r="F11">
        <v>305.20000000000005</v>
      </c>
      <c r="G11">
        <v>164.2</v>
      </c>
      <c r="H11" s="39">
        <v>0</v>
      </c>
      <c r="I11">
        <v>146.5</v>
      </c>
      <c r="J11">
        <v>221.65</v>
      </c>
      <c r="K11">
        <v>171.9</v>
      </c>
      <c r="L11">
        <v>313.85000000000002</v>
      </c>
      <c r="M11">
        <v>59.15</v>
      </c>
      <c r="N11">
        <v>373.15</v>
      </c>
      <c r="O11">
        <v>603.70000000000005</v>
      </c>
      <c r="P11">
        <v>93.3</v>
      </c>
      <c r="Q11">
        <v>164.5</v>
      </c>
      <c r="R11">
        <v>297.89999999999998</v>
      </c>
      <c r="S11">
        <v>163</v>
      </c>
      <c r="T11" s="47">
        <v>0</v>
      </c>
      <c r="U11">
        <v>131.05000000000001</v>
      </c>
      <c r="V11">
        <v>473.75</v>
      </c>
      <c r="W11">
        <v>892.25</v>
      </c>
      <c r="X11">
        <v>909.2</v>
      </c>
      <c r="Y11">
        <v>885.2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92</v>
      </c>
      <c r="AF11">
        <v>61.65</v>
      </c>
      <c r="AG11">
        <v>0</v>
      </c>
      <c r="AH11" s="39">
        <v>0</v>
      </c>
      <c r="AI11" s="47">
        <v>0</v>
      </c>
      <c r="AJ11" s="47">
        <v>0</v>
      </c>
      <c r="AK11">
        <v>0</v>
      </c>
      <c r="AL11">
        <v>0</v>
      </c>
    </row>
    <row r="12" spans="1:39" ht="15">
      <c r="A12" s="16">
        <v>44409</v>
      </c>
      <c r="B12">
        <v>274.16000000000003</v>
      </c>
      <c r="C12">
        <v>280.75</v>
      </c>
      <c r="D12">
        <v>360.34000000000003</v>
      </c>
      <c r="E12">
        <v>201.87</v>
      </c>
      <c r="F12">
        <v>274.22000000000003</v>
      </c>
      <c r="G12">
        <v>147.28</v>
      </c>
      <c r="H12" s="39">
        <v>0</v>
      </c>
      <c r="I12">
        <v>130.06</v>
      </c>
      <c r="J12">
        <v>194.37</v>
      </c>
      <c r="K12">
        <v>154.71</v>
      </c>
      <c r="L12">
        <v>280.98</v>
      </c>
      <c r="M12">
        <v>47.32</v>
      </c>
      <c r="N12">
        <v>329.53999999999996</v>
      </c>
      <c r="O12">
        <v>542.20000000000005</v>
      </c>
      <c r="P12">
        <v>74.64</v>
      </c>
      <c r="Q12">
        <v>147.55000000000001</v>
      </c>
      <c r="R12">
        <v>267.55</v>
      </c>
      <c r="S12">
        <v>146.19999999999999</v>
      </c>
      <c r="T12" s="47">
        <v>0</v>
      </c>
      <c r="U12">
        <v>117.63</v>
      </c>
      <c r="V12">
        <v>409.93</v>
      </c>
      <c r="W12">
        <v>801.12</v>
      </c>
      <c r="X12">
        <v>816.23</v>
      </c>
      <c r="Y12">
        <v>794.84999999999991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82.8</v>
      </c>
      <c r="AF12">
        <v>49.32</v>
      </c>
      <c r="AG12">
        <v>0</v>
      </c>
      <c r="AH12" s="39">
        <v>0</v>
      </c>
      <c r="AI12" s="47">
        <v>0</v>
      </c>
      <c r="AJ12" s="47">
        <v>0</v>
      </c>
      <c r="AK12">
        <v>0</v>
      </c>
      <c r="AL12">
        <v>0</v>
      </c>
    </row>
    <row r="13" spans="1:39" ht="15">
      <c r="A13" s="16">
        <v>44440</v>
      </c>
      <c r="B13">
        <v>274.16000000000003</v>
      </c>
      <c r="C13">
        <v>280.75</v>
      </c>
      <c r="D13">
        <v>360.34000000000003</v>
      </c>
      <c r="E13">
        <v>201.87</v>
      </c>
      <c r="F13">
        <v>274.22000000000003</v>
      </c>
      <c r="G13">
        <v>147.28</v>
      </c>
      <c r="H13" s="39">
        <v>0</v>
      </c>
      <c r="I13">
        <v>130.06</v>
      </c>
      <c r="J13">
        <v>194.37</v>
      </c>
      <c r="K13">
        <v>154.71</v>
      </c>
      <c r="L13">
        <v>280.98</v>
      </c>
      <c r="M13">
        <v>47.32</v>
      </c>
      <c r="N13">
        <v>329.53999999999996</v>
      </c>
      <c r="O13">
        <v>542.20000000000005</v>
      </c>
      <c r="P13">
        <v>74.64</v>
      </c>
      <c r="Q13">
        <v>147.55000000000001</v>
      </c>
      <c r="R13">
        <v>267.55</v>
      </c>
      <c r="S13">
        <v>146.19999999999999</v>
      </c>
      <c r="T13" s="47">
        <v>0</v>
      </c>
      <c r="U13">
        <v>117.63</v>
      </c>
      <c r="V13">
        <v>409.93</v>
      </c>
      <c r="W13">
        <v>801.12</v>
      </c>
      <c r="X13">
        <v>816.23</v>
      </c>
      <c r="Y13">
        <v>794.84999999999991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82.8</v>
      </c>
      <c r="AF13">
        <v>49.32</v>
      </c>
      <c r="AG13">
        <v>0</v>
      </c>
      <c r="AH13" s="39">
        <v>0</v>
      </c>
      <c r="AI13" s="47">
        <v>0</v>
      </c>
      <c r="AJ13" s="47">
        <v>0</v>
      </c>
      <c r="AK13">
        <v>0</v>
      </c>
      <c r="AL13">
        <v>0</v>
      </c>
    </row>
    <row r="14" spans="1:39" ht="15">
      <c r="A14" s="16">
        <v>44470</v>
      </c>
      <c r="B14">
        <v>323.95999999999998</v>
      </c>
      <c r="C14">
        <v>332.9</v>
      </c>
      <c r="D14">
        <v>440.24</v>
      </c>
      <c r="E14">
        <v>225.20999999999998</v>
      </c>
      <c r="F14">
        <v>321.56</v>
      </c>
      <c r="G14">
        <v>182.99</v>
      </c>
      <c r="H14" s="39">
        <v>0</v>
      </c>
      <c r="I14">
        <v>181.29000000000002</v>
      </c>
      <c r="J14">
        <v>239.65</v>
      </c>
      <c r="K14">
        <v>182.47</v>
      </c>
      <c r="L14">
        <v>340.41999999999996</v>
      </c>
      <c r="M14">
        <v>58.63</v>
      </c>
      <c r="N14">
        <v>393.03999999999996</v>
      </c>
      <c r="O14">
        <v>640.45000000000005</v>
      </c>
      <c r="P14">
        <v>93.26</v>
      </c>
      <c r="Q14">
        <v>180.5</v>
      </c>
      <c r="R14">
        <v>315.63</v>
      </c>
      <c r="S14">
        <v>167</v>
      </c>
      <c r="T14" s="47">
        <v>0</v>
      </c>
      <c r="U14">
        <v>148.85000000000002</v>
      </c>
      <c r="V14">
        <v>512.34</v>
      </c>
      <c r="W14">
        <v>945.5</v>
      </c>
      <c r="X14">
        <v>953.29</v>
      </c>
      <c r="Y14">
        <v>925.99</v>
      </c>
      <c r="Z14" s="47">
        <v>0</v>
      </c>
      <c r="AA14">
        <v>0</v>
      </c>
      <c r="AB14">
        <v>0</v>
      </c>
      <c r="AC14">
        <v>0</v>
      </c>
      <c r="AD14">
        <v>0</v>
      </c>
      <c r="AE14">
        <v>107.32</v>
      </c>
      <c r="AF14">
        <v>61.01</v>
      </c>
      <c r="AG14">
        <v>0</v>
      </c>
      <c r="AH14" s="39">
        <v>0</v>
      </c>
      <c r="AI14" s="47">
        <v>0</v>
      </c>
      <c r="AJ14" s="47">
        <v>0</v>
      </c>
      <c r="AK14">
        <v>0</v>
      </c>
      <c r="AL14">
        <v>0</v>
      </c>
    </row>
    <row r="15" spans="1:39" ht="15">
      <c r="A15" s="16">
        <v>44501</v>
      </c>
      <c r="B15">
        <v>292.27</v>
      </c>
      <c r="C15">
        <v>301.14999999999998</v>
      </c>
      <c r="D15">
        <v>399.78</v>
      </c>
      <c r="E15">
        <v>202.78</v>
      </c>
      <c r="F15">
        <v>290.58</v>
      </c>
      <c r="G15">
        <v>166.07</v>
      </c>
      <c r="H15" s="39">
        <v>0</v>
      </c>
      <c r="I15">
        <v>164.85</v>
      </c>
      <c r="J15">
        <v>212.37</v>
      </c>
      <c r="K15">
        <v>165.28</v>
      </c>
      <c r="L15">
        <v>307.54999999999995</v>
      </c>
      <c r="M15">
        <v>46.8</v>
      </c>
      <c r="N15">
        <v>349.43</v>
      </c>
      <c r="O15">
        <v>578.95000000000005</v>
      </c>
      <c r="P15">
        <v>74.599999999999994</v>
      </c>
      <c r="Q15">
        <v>163.55000000000001</v>
      </c>
      <c r="R15">
        <v>285.27999999999997</v>
      </c>
      <c r="S15">
        <v>150.19999999999999</v>
      </c>
      <c r="T15" s="47">
        <v>0</v>
      </c>
      <c r="U15">
        <v>135.43</v>
      </c>
      <c r="V15">
        <v>448.52</v>
      </c>
      <c r="W15">
        <v>854.37</v>
      </c>
      <c r="X15">
        <v>860.31999999999994</v>
      </c>
      <c r="Y15">
        <v>835.64</v>
      </c>
      <c r="Z15" s="47">
        <v>0</v>
      </c>
      <c r="AA15">
        <v>0</v>
      </c>
      <c r="AB15">
        <v>0</v>
      </c>
      <c r="AC15">
        <v>0</v>
      </c>
      <c r="AD15">
        <v>0</v>
      </c>
      <c r="AE15">
        <v>98.12</v>
      </c>
      <c r="AF15">
        <v>48.68</v>
      </c>
      <c r="AG15">
        <v>0</v>
      </c>
      <c r="AH15" s="39">
        <v>0</v>
      </c>
      <c r="AI15" s="47">
        <v>0</v>
      </c>
      <c r="AJ15" s="47">
        <v>0</v>
      </c>
      <c r="AK15">
        <v>0</v>
      </c>
      <c r="AL15">
        <v>0</v>
      </c>
    </row>
    <row r="16" spans="1:39" ht="15">
      <c r="A16" s="16">
        <v>44531</v>
      </c>
      <c r="B16">
        <v>323.86</v>
      </c>
      <c r="C16">
        <v>333.9</v>
      </c>
      <c r="D16">
        <v>444.2</v>
      </c>
      <c r="E16">
        <v>225.28</v>
      </c>
      <c r="F16">
        <v>322.2</v>
      </c>
      <c r="G16">
        <v>183.98</v>
      </c>
      <c r="H16" s="39">
        <v>0</v>
      </c>
      <c r="I16">
        <v>182.89999999999998</v>
      </c>
      <c r="J16">
        <v>231.42000000000002</v>
      </c>
      <c r="K16">
        <v>183.2</v>
      </c>
      <c r="L16">
        <v>341.41999999999996</v>
      </c>
      <c r="M16">
        <v>46.8</v>
      </c>
      <c r="N16">
        <v>382.06</v>
      </c>
      <c r="O16">
        <v>641.42000000000007</v>
      </c>
      <c r="P16">
        <v>74.599999999999994</v>
      </c>
      <c r="Q16">
        <v>181.5</v>
      </c>
      <c r="R16">
        <v>316.48</v>
      </c>
      <c r="S16">
        <v>166</v>
      </c>
      <c r="T16" s="47">
        <v>0</v>
      </c>
      <c r="U16">
        <v>150.22</v>
      </c>
      <c r="V16">
        <v>483.20000000000005</v>
      </c>
      <c r="W16">
        <v>947.02</v>
      </c>
      <c r="X16">
        <v>953.11999999999989</v>
      </c>
      <c r="Y16">
        <v>926.12</v>
      </c>
      <c r="Z16" s="47">
        <v>0</v>
      </c>
      <c r="AA16">
        <v>0</v>
      </c>
      <c r="AB16">
        <v>0</v>
      </c>
      <c r="AC16">
        <v>0</v>
      </c>
      <c r="AD16">
        <v>0</v>
      </c>
      <c r="AE16">
        <v>107.32</v>
      </c>
      <c r="AF16">
        <v>48.68</v>
      </c>
      <c r="AG16">
        <v>0</v>
      </c>
      <c r="AH16" s="39">
        <v>0</v>
      </c>
      <c r="AI16" s="47">
        <v>0</v>
      </c>
      <c r="AJ16" s="47">
        <v>0</v>
      </c>
      <c r="AK16">
        <v>0</v>
      </c>
      <c r="AL16">
        <v>0</v>
      </c>
    </row>
    <row r="17" spans="1:38" ht="15">
      <c r="A17" s="16">
        <v>44562</v>
      </c>
      <c r="B17">
        <v>359.42999999999995</v>
      </c>
      <c r="C17">
        <v>369.85</v>
      </c>
      <c r="D17">
        <v>488.62</v>
      </c>
      <c r="E17">
        <v>247.92</v>
      </c>
      <c r="F17">
        <v>356.82</v>
      </c>
      <c r="G17">
        <v>204.32999999999998</v>
      </c>
      <c r="H17" s="39">
        <v>0</v>
      </c>
      <c r="I17">
        <v>202.15</v>
      </c>
      <c r="J17">
        <v>270.93</v>
      </c>
      <c r="K17">
        <v>203.12</v>
      </c>
      <c r="L17">
        <v>376.65</v>
      </c>
      <c r="M17">
        <v>70.2</v>
      </c>
      <c r="N17">
        <v>442.57000000000005</v>
      </c>
      <c r="O17">
        <v>712.25</v>
      </c>
      <c r="P17">
        <v>111.9</v>
      </c>
      <c r="Q17">
        <v>200.45</v>
      </c>
      <c r="R17">
        <v>349.91999999999996</v>
      </c>
      <c r="S17">
        <v>185.8</v>
      </c>
      <c r="T17" s="47">
        <v>0</v>
      </c>
      <c r="U17">
        <v>166.17000000000002</v>
      </c>
      <c r="V17">
        <v>586.08000000000004</v>
      </c>
      <c r="W17">
        <v>1049.9299999999998</v>
      </c>
      <c r="X17">
        <v>1058.48</v>
      </c>
      <c r="Y17">
        <v>1027.26</v>
      </c>
      <c r="Z17" s="47">
        <v>0</v>
      </c>
      <c r="AA17">
        <v>0</v>
      </c>
      <c r="AB17">
        <v>0</v>
      </c>
      <c r="AC17">
        <v>0</v>
      </c>
      <c r="AD17">
        <v>0</v>
      </c>
      <c r="AE17">
        <v>124.18</v>
      </c>
      <c r="AF17">
        <v>73.02</v>
      </c>
      <c r="AG17">
        <v>0</v>
      </c>
      <c r="AH17" s="39">
        <v>0</v>
      </c>
      <c r="AI17" s="47">
        <v>0</v>
      </c>
      <c r="AJ17" s="47">
        <v>0</v>
      </c>
      <c r="AK17">
        <v>0</v>
      </c>
      <c r="AL17">
        <v>0</v>
      </c>
    </row>
    <row r="18" spans="1:38" ht="15">
      <c r="A18" s="16">
        <v>44593</v>
      </c>
      <c r="B18">
        <v>260.68</v>
      </c>
      <c r="C18">
        <v>268.39999999999998</v>
      </c>
      <c r="D18">
        <v>355.36</v>
      </c>
      <c r="E18">
        <v>180.28</v>
      </c>
      <c r="F18">
        <v>258.95999999999998</v>
      </c>
      <c r="G18">
        <v>148.16</v>
      </c>
      <c r="H18" s="39">
        <v>0</v>
      </c>
      <c r="I18">
        <v>146.80000000000001</v>
      </c>
      <c r="J18">
        <v>193.32</v>
      </c>
      <c r="K18">
        <v>147.36000000000001</v>
      </c>
      <c r="L18">
        <v>273.67999999999995</v>
      </c>
      <c r="M18">
        <v>46.8</v>
      </c>
      <c r="N18">
        <v>316.8</v>
      </c>
      <c r="O18">
        <v>516.48</v>
      </c>
      <c r="P18">
        <v>74.599999999999994</v>
      </c>
      <c r="Q18">
        <v>145.6</v>
      </c>
      <c r="R18">
        <v>254.07999999999998</v>
      </c>
      <c r="S18">
        <v>134.4</v>
      </c>
      <c r="T18" s="47">
        <v>0</v>
      </c>
      <c r="U18">
        <v>120.63999999999999</v>
      </c>
      <c r="V18">
        <v>413.84000000000003</v>
      </c>
      <c r="W18">
        <v>761.72</v>
      </c>
      <c r="X18">
        <v>767.52</v>
      </c>
      <c r="Y18">
        <v>745.16000000000008</v>
      </c>
      <c r="Z18" s="47">
        <v>0</v>
      </c>
      <c r="AA18">
        <v>0</v>
      </c>
      <c r="AB18">
        <v>0</v>
      </c>
      <c r="AC18">
        <v>0</v>
      </c>
      <c r="AD18">
        <v>0</v>
      </c>
      <c r="AE18">
        <v>88.919999999999987</v>
      </c>
      <c r="AF18">
        <v>48.68</v>
      </c>
      <c r="AG18">
        <v>0</v>
      </c>
      <c r="AH18" s="39">
        <v>0</v>
      </c>
      <c r="AI18" s="47">
        <v>0</v>
      </c>
      <c r="AJ18" s="47">
        <v>0</v>
      </c>
      <c r="AK18">
        <v>0</v>
      </c>
      <c r="AL18">
        <v>0</v>
      </c>
    </row>
    <row r="19" spans="1:38" ht="15">
      <c r="A19" s="16">
        <v>44621</v>
      </c>
      <c r="B19">
        <v>206.51999999999998</v>
      </c>
      <c r="C19">
        <v>213.60000000000002</v>
      </c>
      <c r="D19">
        <v>249.36</v>
      </c>
      <c r="E19">
        <v>225.76</v>
      </c>
      <c r="F19">
        <v>263</v>
      </c>
      <c r="G19">
        <v>326.39999999999998</v>
      </c>
      <c r="H19" s="39">
        <v>0</v>
      </c>
      <c r="I19">
        <v>146.39999999999998</v>
      </c>
      <c r="J19">
        <v>241.92000000000002</v>
      </c>
      <c r="K19">
        <v>202.04000000000002</v>
      </c>
      <c r="L19">
        <v>201.39999999999998</v>
      </c>
      <c r="M19">
        <v>46.8</v>
      </c>
      <c r="N19">
        <v>317.27999999999997</v>
      </c>
      <c r="O19">
        <v>325.76</v>
      </c>
      <c r="P19">
        <v>74.599999999999994</v>
      </c>
      <c r="Q19">
        <v>251.48000000000002</v>
      </c>
      <c r="R19">
        <v>268</v>
      </c>
      <c r="S19">
        <v>441.8</v>
      </c>
      <c r="T19" s="47">
        <v>0</v>
      </c>
      <c r="U19">
        <v>432.68</v>
      </c>
      <c r="V19">
        <v>637.04</v>
      </c>
      <c r="W19">
        <v>481.12</v>
      </c>
      <c r="X19">
        <v>522.79999999999995</v>
      </c>
      <c r="Y19">
        <v>420.04</v>
      </c>
      <c r="Z19" s="47">
        <v>0</v>
      </c>
      <c r="AA19">
        <v>0</v>
      </c>
      <c r="AB19">
        <v>0</v>
      </c>
      <c r="AC19">
        <v>0</v>
      </c>
      <c r="AD19">
        <v>0</v>
      </c>
      <c r="AE19">
        <v>123.75999999999999</v>
      </c>
      <c r="AF19">
        <v>48.68</v>
      </c>
      <c r="AG19">
        <v>0</v>
      </c>
      <c r="AH19" s="39">
        <v>0</v>
      </c>
      <c r="AI19" s="47">
        <v>0</v>
      </c>
      <c r="AJ19" s="47">
        <v>0</v>
      </c>
      <c r="AK19">
        <v>0</v>
      </c>
      <c r="AL19">
        <v>0</v>
      </c>
    </row>
    <row r="20" spans="1:38" ht="15">
      <c r="A20" s="16">
        <v>44652</v>
      </c>
      <c r="B20">
        <v>688.5</v>
      </c>
      <c r="C20">
        <v>302.75</v>
      </c>
      <c r="D20">
        <v>44.42</v>
      </c>
      <c r="E20">
        <v>272.05</v>
      </c>
      <c r="F20">
        <v>423.2</v>
      </c>
      <c r="G20">
        <v>212.61</v>
      </c>
      <c r="H20" s="39">
        <v>0</v>
      </c>
      <c r="I20">
        <v>166.45</v>
      </c>
      <c r="J20">
        <v>257.68</v>
      </c>
      <c r="K20">
        <v>171.04000000000002</v>
      </c>
      <c r="L20">
        <v>308.75</v>
      </c>
      <c r="M20">
        <v>11.7</v>
      </c>
      <c r="N20">
        <v>384.37</v>
      </c>
      <c r="O20">
        <v>602.97</v>
      </c>
      <c r="P20">
        <v>18.649999999999999</v>
      </c>
      <c r="Q20">
        <v>164.05</v>
      </c>
      <c r="R20">
        <v>282.36</v>
      </c>
      <c r="S20">
        <v>151.52000000000001</v>
      </c>
      <c r="T20" s="47">
        <v>0</v>
      </c>
      <c r="U20">
        <v>130.97</v>
      </c>
      <c r="V20">
        <v>619.58000000000004</v>
      </c>
      <c r="W20">
        <v>889.3</v>
      </c>
      <c r="X20">
        <v>991.56</v>
      </c>
      <c r="Y20">
        <v>868.6099999999999</v>
      </c>
      <c r="Z20" s="47">
        <v>0</v>
      </c>
      <c r="AA20">
        <v>0</v>
      </c>
      <c r="AB20">
        <v>0</v>
      </c>
      <c r="AC20">
        <v>0</v>
      </c>
      <c r="AD20">
        <v>74.48</v>
      </c>
      <c r="AE20">
        <v>130.22999999999999</v>
      </c>
      <c r="AF20">
        <v>108.49</v>
      </c>
      <c r="AG20">
        <v>52.92</v>
      </c>
      <c r="AH20" s="39">
        <v>0</v>
      </c>
      <c r="AI20" s="47">
        <v>0</v>
      </c>
      <c r="AJ20" s="47">
        <v>0</v>
      </c>
      <c r="AK20">
        <v>0</v>
      </c>
      <c r="AL20">
        <v>0</v>
      </c>
    </row>
    <row r="21" spans="1:38" ht="15">
      <c r="A21" s="16">
        <v>44682</v>
      </c>
      <c r="B21">
        <v>812.92000000000007</v>
      </c>
      <c r="C21">
        <v>333.94</v>
      </c>
      <c r="D21">
        <v>0</v>
      </c>
      <c r="E21">
        <v>311.74</v>
      </c>
      <c r="F21">
        <v>485.1</v>
      </c>
      <c r="G21">
        <v>229.24</v>
      </c>
      <c r="H21" s="39">
        <v>0</v>
      </c>
      <c r="I21">
        <v>183.89999999999998</v>
      </c>
      <c r="J21">
        <v>269.04000000000002</v>
      </c>
      <c r="K21">
        <v>187.95999999999998</v>
      </c>
      <c r="L21">
        <v>341.74</v>
      </c>
      <c r="M21">
        <v>0</v>
      </c>
      <c r="N21">
        <v>409.56</v>
      </c>
      <c r="O21">
        <v>666.18000000000006</v>
      </c>
      <c r="P21">
        <v>0</v>
      </c>
      <c r="Q21">
        <v>181.5</v>
      </c>
      <c r="R21">
        <v>310.10000000000002</v>
      </c>
      <c r="S21">
        <v>165.14</v>
      </c>
      <c r="T21" s="47">
        <v>0</v>
      </c>
      <c r="U21">
        <v>144.54</v>
      </c>
      <c r="V21">
        <v>684.09999999999991</v>
      </c>
      <c r="W21">
        <v>983.28</v>
      </c>
      <c r="X21">
        <v>1084.82</v>
      </c>
      <c r="Y21">
        <v>960.34</v>
      </c>
      <c r="Z21" s="47">
        <v>0</v>
      </c>
      <c r="AA21">
        <v>0</v>
      </c>
      <c r="AB21">
        <v>0</v>
      </c>
      <c r="AC21">
        <v>0</v>
      </c>
      <c r="AD21">
        <v>74.48</v>
      </c>
      <c r="AE21">
        <v>148.39999999999998</v>
      </c>
      <c r="AF21">
        <v>96.32</v>
      </c>
      <c r="AG21">
        <v>52.92</v>
      </c>
      <c r="AH21" s="39">
        <v>0</v>
      </c>
      <c r="AI21" s="47">
        <v>0</v>
      </c>
      <c r="AJ21" s="47">
        <v>0</v>
      </c>
      <c r="AK21">
        <v>0</v>
      </c>
      <c r="AL21">
        <v>0</v>
      </c>
    </row>
    <row r="22" spans="1:38" ht="15">
      <c r="A22" s="16">
        <v>44713</v>
      </c>
      <c r="B22">
        <v>654.92000000000007</v>
      </c>
      <c r="C22">
        <v>268.39999999999998</v>
      </c>
      <c r="D22">
        <v>0</v>
      </c>
      <c r="E22">
        <v>249.48</v>
      </c>
      <c r="F22">
        <v>390.08</v>
      </c>
      <c r="G22">
        <v>193.48</v>
      </c>
      <c r="H22" s="39">
        <v>0</v>
      </c>
      <c r="I22">
        <v>147.80000000000001</v>
      </c>
      <c r="J22">
        <v>228.4</v>
      </c>
      <c r="K22">
        <v>152.12</v>
      </c>
      <c r="L22">
        <v>274.20000000000005</v>
      </c>
      <c r="M22">
        <v>0</v>
      </c>
      <c r="N22">
        <v>337.8</v>
      </c>
      <c r="O22">
        <v>536.32000000000005</v>
      </c>
      <c r="P22">
        <v>0</v>
      </c>
      <c r="Q22">
        <v>145.6</v>
      </c>
      <c r="R22">
        <v>250.04</v>
      </c>
      <c r="S22">
        <v>133.72</v>
      </c>
      <c r="T22" s="47">
        <v>0</v>
      </c>
      <c r="U22">
        <v>115.6</v>
      </c>
      <c r="V22">
        <v>550.79999999999995</v>
      </c>
      <c r="W22">
        <v>791.52</v>
      </c>
      <c r="X22">
        <v>892.48</v>
      </c>
      <c r="Y22">
        <v>772.8</v>
      </c>
      <c r="Z22" s="47">
        <v>0</v>
      </c>
      <c r="AA22">
        <v>0</v>
      </c>
      <c r="AB22">
        <v>0</v>
      </c>
      <c r="AC22">
        <v>0</v>
      </c>
      <c r="AD22">
        <v>74.48</v>
      </c>
      <c r="AE22">
        <v>117.19999999999999</v>
      </c>
      <c r="AF22">
        <v>96.32</v>
      </c>
      <c r="AG22">
        <v>52.92</v>
      </c>
      <c r="AH22" s="39">
        <v>0</v>
      </c>
      <c r="AI22" s="47">
        <v>0</v>
      </c>
      <c r="AJ22" s="47">
        <v>0</v>
      </c>
      <c r="AK22">
        <v>0</v>
      </c>
      <c r="AL22">
        <v>0</v>
      </c>
    </row>
    <row r="23" spans="1:38" ht="15">
      <c r="A23" s="16">
        <v>44743</v>
      </c>
      <c r="B23">
        <v>707.88</v>
      </c>
      <c r="C23">
        <v>312.88</v>
      </c>
      <c r="D23">
        <v>0</v>
      </c>
      <c r="E23">
        <v>224.34</v>
      </c>
      <c r="F23">
        <v>305.66999999999996</v>
      </c>
      <c r="G23">
        <v>164.45999999999998</v>
      </c>
      <c r="H23" s="39">
        <v>0</v>
      </c>
      <c r="I23">
        <v>146.5</v>
      </c>
      <c r="J23">
        <v>209.91000000000003</v>
      </c>
      <c r="K23">
        <v>172.3</v>
      </c>
      <c r="L23">
        <v>314.39999999999998</v>
      </c>
      <c r="M23">
        <v>0</v>
      </c>
      <c r="N23">
        <v>385.58000000000004</v>
      </c>
      <c r="O23">
        <v>604.57999999999993</v>
      </c>
      <c r="P23">
        <v>0</v>
      </c>
      <c r="Q23">
        <v>164.87</v>
      </c>
      <c r="R23">
        <v>310.25</v>
      </c>
      <c r="S23">
        <v>163.47</v>
      </c>
      <c r="T23" s="47">
        <v>0</v>
      </c>
      <c r="U23">
        <v>119.16</v>
      </c>
      <c r="V23">
        <v>474.30999999999995</v>
      </c>
      <c r="W23">
        <v>893.1</v>
      </c>
      <c r="X23">
        <v>909.84999999999991</v>
      </c>
      <c r="Y23">
        <v>885.93000000000006</v>
      </c>
      <c r="Z23" s="47">
        <v>0</v>
      </c>
      <c r="AA23">
        <v>0</v>
      </c>
      <c r="AB23">
        <v>0</v>
      </c>
      <c r="AC23">
        <v>0</v>
      </c>
      <c r="AD23">
        <v>93.33</v>
      </c>
      <c r="AE23">
        <v>92</v>
      </c>
      <c r="AF23">
        <v>120.83</v>
      </c>
      <c r="AG23" s="39">
        <v>0</v>
      </c>
      <c r="AH23" s="39">
        <v>0</v>
      </c>
      <c r="AI23" s="47">
        <v>0</v>
      </c>
      <c r="AJ23" s="47">
        <v>0</v>
      </c>
      <c r="AK23">
        <v>0</v>
      </c>
      <c r="AL23">
        <v>0</v>
      </c>
    </row>
    <row r="24" spans="1:38" ht="15">
      <c r="A24" s="16">
        <v>44774</v>
      </c>
      <c r="B24">
        <v>634.52</v>
      </c>
      <c r="C24">
        <v>280.75</v>
      </c>
      <c r="D24">
        <v>0</v>
      </c>
      <c r="E24">
        <v>201.9</v>
      </c>
      <c r="F24">
        <v>274.26</v>
      </c>
      <c r="G24">
        <v>147.25</v>
      </c>
      <c r="H24" s="39">
        <v>0</v>
      </c>
      <c r="I24">
        <v>130.06</v>
      </c>
      <c r="J24">
        <v>183.82</v>
      </c>
      <c r="K24">
        <v>154.65</v>
      </c>
      <c r="L24">
        <v>280.97000000000003</v>
      </c>
      <c r="M24">
        <v>0</v>
      </c>
      <c r="N24">
        <v>341.39</v>
      </c>
      <c r="O24">
        <v>542.17000000000007</v>
      </c>
      <c r="P24">
        <v>0</v>
      </c>
      <c r="Q24">
        <v>147.55000000000001</v>
      </c>
      <c r="R24">
        <v>278.14</v>
      </c>
      <c r="S24">
        <v>146.19999999999999</v>
      </c>
      <c r="T24" s="47">
        <v>0</v>
      </c>
      <c r="U24">
        <v>105.75</v>
      </c>
      <c r="V24">
        <v>409.94</v>
      </c>
      <c r="W24">
        <v>801.1099999999999</v>
      </c>
      <c r="X24">
        <v>816.2</v>
      </c>
      <c r="Y24">
        <v>794.81999999999994</v>
      </c>
      <c r="Z24" s="47">
        <v>0</v>
      </c>
      <c r="AA24">
        <v>0</v>
      </c>
      <c r="AB24">
        <v>0</v>
      </c>
      <c r="AC24">
        <v>0</v>
      </c>
      <c r="AD24">
        <v>74.67</v>
      </c>
      <c r="AE24">
        <v>82.8</v>
      </c>
      <c r="AF24">
        <v>96.67</v>
      </c>
      <c r="AG24" s="39">
        <v>0</v>
      </c>
      <c r="AH24" s="39">
        <v>0</v>
      </c>
      <c r="AI24" s="47">
        <v>0</v>
      </c>
      <c r="AJ24" s="47">
        <v>0</v>
      </c>
      <c r="AK24">
        <v>0</v>
      </c>
      <c r="AL24">
        <v>0</v>
      </c>
    </row>
    <row r="25" spans="1:38" ht="15">
      <c r="A25" s="16">
        <v>44805</v>
      </c>
      <c r="B25">
        <v>634.52</v>
      </c>
      <c r="C25">
        <v>280.75</v>
      </c>
      <c r="D25">
        <v>0</v>
      </c>
      <c r="E25">
        <v>201.9</v>
      </c>
      <c r="F25">
        <v>274.26</v>
      </c>
      <c r="G25">
        <v>147.25</v>
      </c>
      <c r="H25" s="39">
        <v>0</v>
      </c>
      <c r="I25">
        <v>130.06</v>
      </c>
      <c r="J25">
        <v>183.82</v>
      </c>
      <c r="K25">
        <v>154.65</v>
      </c>
      <c r="L25">
        <v>280.97000000000003</v>
      </c>
      <c r="M25">
        <v>0</v>
      </c>
      <c r="N25">
        <v>341.39</v>
      </c>
      <c r="O25">
        <v>542.17000000000007</v>
      </c>
      <c r="P25">
        <v>0</v>
      </c>
      <c r="Q25">
        <v>147.55000000000001</v>
      </c>
      <c r="R25">
        <v>278.14</v>
      </c>
      <c r="S25">
        <v>146.19999999999999</v>
      </c>
      <c r="T25" s="47">
        <v>0</v>
      </c>
      <c r="U25">
        <v>105.75</v>
      </c>
      <c r="V25">
        <v>409.94</v>
      </c>
      <c r="W25">
        <v>801.1099999999999</v>
      </c>
      <c r="X25">
        <v>816.2</v>
      </c>
      <c r="Y25">
        <v>794.81999999999994</v>
      </c>
      <c r="Z25" s="47">
        <v>0</v>
      </c>
      <c r="AA25">
        <v>0</v>
      </c>
      <c r="AB25">
        <v>0</v>
      </c>
      <c r="AC25">
        <v>0</v>
      </c>
      <c r="AD25">
        <v>74.67</v>
      </c>
      <c r="AE25">
        <v>82.8</v>
      </c>
      <c r="AF25">
        <v>96.67</v>
      </c>
      <c r="AG25" s="39">
        <v>0</v>
      </c>
      <c r="AH25" s="39">
        <v>0</v>
      </c>
      <c r="AI25" s="47">
        <v>0</v>
      </c>
      <c r="AJ25" s="47">
        <v>0</v>
      </c>
      <c r="AK25">
        <v>0</v>
      </c>
      <c r="AL25">
        <v>0</v>
      </c>
    </row>
    <row r="26" spans="1:38" ht="15">
      <c r="A26" s="16">
        <v>44835</v>
      </c>
      <c r="B26">
        <v>764.15</v>
      </c>
      <c r="C26">
        <v>332.57</v>
      </c>
      <c r="D26">
        <v>0</v>
      </c>
      <c r="E26">
        <v>225.2</v>
      </c>
      <c r="F26">
        <v>321.86</v>
      </c>
      <c r="G26">
        <v>185.36</v>
      </c>
      <c r="H26" s="39">
        <v>0</v>
      </c>
      <c r="I26">
        <v>180.95</v>
      </c>
      <c r="J26">
        <v>227.12</v>
      </c>
      <c r="K26">
        <v>182.76</v>
      </c>
      <c r="L26">
        <v>339.46000000000004</v>
      </c>
      <c r="M26">
        <v>0</v>
      </c>
      <c r="N26">
        <v>407.54999999999995</v>
      </c>
      <c r="O26">
        <v>640.43000000000006</v>
      </c>
      <c r="P26">
        <v>0</v>
      </c>
      <c r="Q26">
        <v>176.76999999999998</v>
      </c>
      <c r="R26">
        <v>328.16999999999996</v>
      </c>
      <c r="S26">
        <v>167</v>
      </c>
      <c r="T26" s="47">
        <v>0</v>
      </c>
      <c r="U26">
        <v>134.30000000000001</v>
      </c>
      <c r="V26">
        <v>512.37</v>
      </c>
      <c r="W26">
        <v>945.52</v>
      </c>
      <c r="X26">
        <v>953.3</v>
      </c>
      <c r="Y26">
        <v>926.04</v>
      </c>
      <c r="Z26" s="47">
        <v>0</v>
      </c>
      <c r="AA26">
        <v>0</v>
      </c>
      <c r="AB26">
        <v>0</v>
      </c>
      <c r="AC26">
        <v>0</v>
      </c>
      <c r="AD26">
        <v>93.27</v>
      </c>
      <c r="AE26">
        <v>107.33</v>
      </c>
      <c r="AF26">
        <v>119.63</v>
      </c>
      <c r="AG26" s="39">
        <v>0</v>
      </c>
      <c r="AH26" s="39">
        <v>0</v>
      </c>
      <c r="AI26" s="47">
        <v>0</v>
      </c>
      <c r="AJ26" s="47">
        <v>0</v>
      </c>
      <c r="AK26">
        <v>0</v>
      </c>
      <c r="AL26">
        <v>0</v>
      </c>
    </row>
    <row r="27" spans="1:38" ht="15">
      <c r="A27" s="16">
        <v>44866</v>
      </c>
      <c r="B27">
        <v>692</v>
      </c>
      <c r="C27">
        <v>300.82</v>
      </c>
      <c r="D27">
        <v>0</v>
      </c>
      <c r="E27">
        <v>202.76999999999998</v>
      </c>
      <c r="F27">
        <v>290.88</v>
      </c>
      <c r="G27">
        <v>168.45</v>
      </c>
      <c r="H27" s="39">
        <v>0</v>
      </c>
      <c r="I27">
        <v>164.51999999999998</v>
      </c>
      <c r="J27">
        <v>201.35</v>
      </c>
      <c r="K27">
        <v>165.57999999999998</v>
      </c>
      <c r="L27">
        <v>306.60000000000002</v>
      </c>
      <c r="M27">
        <v>0</v>
      </c>
      <c r="N27">
        <v>363.94</v>
      </c>
      <c r="O27">
        <v>578.93000000000006</v>
      </c>
      <c r="P27">
        <v>0</v>
      </c>
      <c r="Q27">
        <v>159.82</v>
      </c>
      <c r="R27">
        <v>296.3</v>
      </c>
      <c r="S27">
        <v>150.19999999999999</v>
      </c>
      <c r="T27" s="47">
        <v>0</v>
      </c>
      <c r="U27">
        <v>120.89</v>
      </c>
      <c r="V27">
        <v>448.54999999999995</v>
      </c>
      <c r="W27">
        <v>854.38</v>
      </c>
      <c r="X27">
        <v>860.32999999999993</v>
      </c>
      <c r="Y27">
        <v>835.69</v>
      </c>
      <c r="Z27" s="47">
        <v>0</v>
      </c>
      <c r="AA27">
        <v>0</v>
      </c>
      <c r="AB27">
        <v>0</v>
      </c>
      <c r="AC27">
        <v>0</v>
      </c>
      <c r="AD27">
        <v>74.599999999999994</v>
      </c>
      <c r="AE27">
        <v>98.13</v>
      </c>
      <c r="AF27">
        <v>95.47</v>
      </c>
      <c r="AG27" s="39">
        <v>0</v>
      </c>
      <c r="AH27" s="39">
        <v>0</v>
      </c>
      <c r="AI27" s="47">
        <v>0</v>
      </c>
      <c r="AJ27" s="47">
        <v>0</v>
      </c>
      <c r="AK27">
        <v>0</v>
      </c>
      <c r="AL27">
        <v>0</v>
      </c>
    </row>
    <row r="28" spans="1:38" ht="15">
      <c r="A28" s="16">
        <v>44896</v>
      </c>
      <c r="B28">
        <v>768</v>
      </c>
      <c r="C28">
        <v>333.57</v>
      </c>
      <c r="D28">
        <v>0</v>
      </c>
      <c r="E28">
        <v>225.26999999999998</v>
      </c>
      <c r="F28">
        <v>322.5</v>
      </c>
      <c r="G28">
        <v>186.37</v>
      </c>
      <c r="H28" s="39">
        <v>0</v>
      </c>
      <c r="I28">
        <v>182.57</v>
      </c>
      <c r="J28">
        <v>219.5</v>
      </c>
      <c r="K28">
        <v>183.5</v>
      </c>
      <c r="L28">
        <v>340.47</v>
      </c>
      <c r="M28">
        <v>0</v>
      </c>
      <c r="N28">
        <v>399.47</v>
      </c>
      <c r="O28">
        <v>641.40000000000009</v>
      </c>
      <c r="P28">
        <v>0</v>
      </c>
      <c r="Q28">
        <v>177.76999999999998</v>
      </c>
      <c r="R28">
        <v>328.4</v>
      </c>
      <c r="S28">
        <v>166</v>
      </c>
      <c r="T28" s="47">
        <v>0</v>
      </c>
      <c r="U28">
        <v>132.76999999999998</v>
      </c>
      <c r="V28">
        <v>483.23</v>
      </c>
      <c r="W28">
        <v>947.03</v>
      </c>
      <c r="X28">
        <v>953.12999999999988</v>
      </c>
      <c r="Y28">
        <v>926.17</v>
      </c>
      <c r="Z28" s="47">
        <v>0</v>
      </c>
      <c r="AA28">
        <v>0</v>
      </c>
      <c r="AB28">
        <v>0</v>
      </c>
      <c r="AC28">
        <v>0</v>
      </c>
      <c r="AD28">
        <v>74.599999999999994</v>
      </c>
      <c r="AE28">
        <v>107.33000000000001</v>
      </c>
      <c r="AF28">
        <v>95.47</v>
      </c>
      <c r="AG28" s="39">
        <v>0</v>
      </c>
      <c r="AH28" s="39">
        <v>0</v>
      </c>
      <c r="AI28" s="47">
        <v>0</v>
      </c>
      <c r="AJ28" s="47">
        <v>0</v>
      </c>
      <c r="AK28">
        <v>0</v>
      </c>
      <c r="AL28">
        <v>0</v>
      </c>
    </row>
    <row r="29" spans="1:38" ht="15">
      <c r="A29" s="16">
        <v>44927</v>
      </c>
      <c r="B29">
        <v>897.67000000000007</v>
      </c>
      <c r="C29">
        <v>367.85</v>
      </c>
      <c r="D29">
        <v>0</v>
      </c>
      <c r="E29">
        <v>342.68</v>
      </c>
      <c r="F29">
        <v>535.18000000000006</v>
      </c>
      <c r="G29">
        <v>259.55</v>
      </c>
      <c r="H29" s="39">
        <v>0</v>
      </c>
      <c r="I29">
        <v>204.98000000000002</v>
      </c>
      <c r="J29">
        <v>296.33000000000004</v>
      </c>
      <c r="K29">
        <v>207.42000000000002</v>
      </c>
      <c r="L29">
        <v>376.52</v>
      </c>
      <c r="M29">
        <v>0</v>
      </c>
      <c r="N29">
        <v>462.43</v>
      </c>
      <c r="O29">
        <v>735.35</v>
      </c>
      <c r="P29">
        <v>0</v>
      </c>
      <c r="Q29">
        <v>194.05</v>
      </c>
      <c r="R29">
        <v>352.1</v>
      </c>
      <c r="S29">
        <v>184.55</v>
      </c>
      <c r="T29" s="47">
        <v>0</v>
      </c>
      <c r="U29">
        <v>155.75</v>
      </c>
      <c r="V29">
        <v>755.15</v>
      </c>
      <c r="W29">
        <v>1085.02</v>
      </c>
      <c r="X29">
        <v>1231.18</v>
      </c>
      <c r="Y29">
        <v>1058.52</v>
      </c>
      <c r="Z29" s="47">
        <v>0</v>
      </c>
      <c r="AA29">
        <v>0</v>
      </c>
      <c r="AB29">
        <v>0</v>
      </c>
      <c r="AC29">
        <v>0</v>
      </c>
      <c r="AD29">
        <v>92.92</v>
      </c>
      <c r="AE29">
        <v>170.5</v>
      </c>
      <c r="AF29">
        <v>119.25</v>
      </c>
      <c r="AG29">
        <v>58.08</v>
      </c>
      <c r="AH29" s="39">
        <v>0</v>
      </c>
      <c r="AI29" s="47">
        <v>0</v>
      </c>
      <c r="AJ29" s="47">
        <v>0</v>
      </c>
      <c r="AK29">
        <v>0</v>
      </c>
      <c r="AL29">
        <v>0</v>
      </c>
    </row>
    <row r="30" spans="1:38" ht="15">
      <c r="A30" s="16">
        <v>44958</v>
      </c>
      <c r="B30">
        <v>654.93000000000006</v>
      </c>
      <c r="C30">
        <v>268.07</v>
      </c>
      <c r="D30">
        <v>0</v>
      </c>
      <c r="E30">
        <v>249.27</v>
      </c>
      <c r="F30">
        <v>390.14</v>
      </c>
      <c r="G30">
        <v>193.32999999999998</v>
      </c>
      <c r="H30" s="39">
        <v>0</v>
      </c>
      <c r="I30">
        <v>149.26999999999998</v>
      </c>
      <c r="J30">
        <v>221.54000000000002</v>
      </c>
      <c r="K30">
        <v>151.60000000000002</v>
      </c>
      <c r="L30">
        <v>274.2</v>
      </c>
      <c r="M30">
        <v>0</v>
      </c>
      <c r="N30">
        <v>340.67</v>
      </c>
      <c r="O30">
        <v>536.33000000000004</v>
      </c>
      <c r="P30">
        <v>0</v>
      </c>
      <c r="Q30">
        <v>141.27000000000001</v>
      </c>
      <c r="R30">
        <v>256.93</v>
      </c>
      <c r="S30">
        <v>135.07</v>
      </c>
      <c r="T30" s="47">
        <v>0</v>
      </c>
      <c r="U30">
        <v>113.6</v>
      </c>
      <c r="V30">
        <v>550.79999999999995</v>
      </c>
      <c r="W30">
        <v>791.32999999999993</v>
      </c>
      <c r="X30">
        <v>908</v>
      </c>
      <c r="Y30">
        <v>771.86</v>
      </c>
      <c r="Z30" s="47">
        <v>0</v>
      </c>
      <c r="AA30">
        <v>0</v>
      </c>
      <c r="AB30">
        <v>0</v>
      </c>
      <c r="AC30">
        <v>0</v>
      </c>
      <c r="AD30">
        <v>74.33</v>
      </c>
      <c r="AE30">
        <v>123.87</v>
      </c>
      <c r="AF30">
        <v>95.4</v>
      </c>
      <c r="AG30">
        <v>46.47</v>
      </c>
      <c r="AH30" s="39">
        <v>0</v>
      </c>
      <c r="AI30" s="47">
        <v>0</v>
      </c>
      <c r="AJ30" s="47">
        <v>0</v>
      </c>
      <c r="AK30">
        <v>0</v>
      </c>
      <c r="AL30">
        <v>0</v>
      </c>
    </row>
    <row r="31" spans="1:38" ht="15">
      <c r="A31" s="16">
        <v>44986</v>
      </c>
      <c r="B31">
        <v>654.93000000000006</v>
      </c>
      <c r="C31">
        <v>268.07</v>
      </c>
      <c r="D31">
        <v>0</v>
      </c>
      <c r="E31">
        <v>249.27</v>
      </c>
      <c r="F31">
        <v>390.14</v>
      </c>
      <c r="G31">
        <v>193.32999999999998</v>
      </c>
      <c r="H31" s="39">
        <v>0</v>
      </c>
      <c r="I31">
        <v>149.26999999999998</v>
      </c>
      <c r="J31">
        <v>221.54000000000002</v>
      </c>
      <c r="K31">
        <v>151.60000000000002</v>
      </c>
      <c r="L31">
        <v>274.2</v>
      </c>
      <c r="M31">
        <v>0</v>
      </c>
      <c r="N31">
        <v>340.67</v>
      </c>
      <c r="O31">
        <v>536.33000000000004</v>
      </c>
      <c r="P31">
        <v>0</v>
      </c>
      <c r="Q31">
        <v>141.27000000000001</v>
      </c>
      <c r="R31">
        <v>256.93</v>
      </c>
      <c r="S31">
        <v>135.07</v>
      </c>
      <c r="T31" s="47">
        <v>0</v>
      </c>
      <c r="U31">
        <v>113.6</v>
      </c>
      <c r="V31">
        <v>550.79999999999995</v>
      </c>
      <c r="W31">
        <v>791.32999999999993</v>
      </c>
      <c r="X31">
        <v>908</v>
      </c>
      <c r="Y31">
        <v>771.86</v>
      </c>
      <c r="Z31" s="47">
        <v>0</v>
      </c>
      <c r="AA31">
        <v>0</v>
      </c>
      <c r="AB31">
        <v>0</v>
      </c>
      <c r="AC31">
        <v>0</v>
      </c>
      <c r="AD31">
        <v>74.33</v>
      </c>
      <c r="AE31">
        <v>123.87</v>
      </c>
      <c r="AF31">
        <v>95.4</v>
      </c>
      <c r="AG31">
        <v>46.47</v>
      </c>
      <c r="AH31" s="39">
        <v>0</v>
      </c>
      <c r="AI31" s="47">
        <v>0</v>
      </c>
      <c r="AJ31" s="47">
        <v>0</v>
      </c>
      <c r="AK31">
        <v>0</v>
      </c>
      <c r="AL31">
        <v>0</v>
      </c>
    </row>
    <row r="32" spans="1:38" ht="15">
      <c r="A32" s="16">
        <v>45017</v>
      </c>
      <c r="B32">
        <v>819.96</v>
      </c>
      <c r="C32">
        <v>340.03</v>
      </c>
      <c r="D32">
        <v>0</v>
      </c>
      <c r="E32">
        <v>311.48</v>
      </c>
      <c r="F32">
        <v>487.66</v>
      </c>
      <c r="G32">
        <v>241.17000000000002</v>
      </c>
      <c r="H32" s="39">
        <v>0</v>
      </c>
      <c r="I32">
        <v>186.57999999999998</v>
      </c>
      <c r="J32">
        <v>276.69</v>
      </c>
      <c r="K32">
        <v>298.5</v>
      </c>
      <c r="L32">
        <v>342.75</v>
      </c>
      <c r="M32">
        <v>0</v>
      </c>
      <c r="N32">
        <v>425.83000000000004</v>
      </c>
      <c r="O32">
        <v>670.42000000000007</v>
      </c>
      <c r="P32">
        <v>0</v>
      </c>
      <c r="Q32">
        <v>176.57999999999998</v>
      </c>
      <c r="R32">
        <v>321</v>
      </c>
      <c r="S32">
        <v>167.5</v>
      </c>
      <c r="T32" s="47">
        <v>0</v>
      </c>
      <c r="U32">
        <v>145.19999999999999</v>
      </c>
      <c r="V32">
        <v>687.2</v>
      </c>
      <c r="W32">
        <v>986.12</v>
      </c>
      <c r="X32">
        <v>1140.67</v>
      </c>
      <c r="Y32">
        <v>961.74</v>
      </c>
      <c r="Z32" s="47">
        <v>0</v>
      </c>
      <c r="AA32">
        <v>0</v>
      </c>
      <c r="AB32">
        <v>0</v>
      </c>
      <c r="AC32">
        <v>0</v>
      </c>
      <c r="AD32">
        <v>92.92</v>
      </c>
      <c r="AE32">
        <v>150.23000000000002</v>
      </c>
      <c r="AF32">
        <v>157.58000000000001</v>
      </c>
      <c r="AG32">
        <v>62.48</v>
      </c>
      <c r="AH32" s="39">
        <v>0</v>
      </c>
      <c r="AI32" s="47">
        <v>0</v>
      </c>
      <c r="AJ32" s="47">
        <v>0</v>
      </c>
      <c r="AK32">
        <v>0</v>
      </c>
      <c r="AL32">
        <v>0</v>
      </c>
    </row>
    <row r="33" spans="1:38" ht="15">
      <c r="A33" s="16">
        <v>45047</v>
      </c>
      <c r="B33">
        <v>735.23</v>
      </c>
      <c r="C33">
        <v>305.77999999999997</v>
      </c>
      <c r="D33">
        <v>0</v>
      </c>
      <c r="E33">
        <v>280.26</v>
      </c>
      <c r="F33">
        <v>437.65</v>
      </c>
      <c r="G33">
        <v>210.72</v>
      </c>
      <c r="H33" s="39">
        <v>0</v>
      </c>
      <c r="I33">
        <v>167.67000000000002</v>
      </c>
      <c r="J33">
        <v>240.72000000000003</v>
      </c>
      <c r="K33">
        <v>278.52</v>
      </c>
      <c r="L33">
        <v>307.96000000000004</v>
      </c>
      <c r="M33">
        <v>0</v>
      </c>
      <c r="N33">
        <v>377.27</v>
      </c>
      <c r="O33">
        <v>601.27</v>
      </c>
      <c r="P33">
        <v>0</v>
      </c>
      <c r="Q33">
        <v>158.73000000000002</v>
      </c>
      <c r="R33">
        <v>287.7</v>
      </c>
      <c r="S33">
        <v>149.44999999999999</v>
      </c>
      <c r="T33" s="47">
        <v>0</v>
      </c>
      <c r="U33">
        <v>130.55000000000001</v>
      </c>
      <c r="V33">
        <v>616.15</v>
      </c>
      <c r="W33">
        <v>884.1400000000001</v>
      </c>
      <c r="X33">
        <v>1009.8499999999999</v>
      </c>
      <c r="Y33">
        <v>862.45</v>
      </c>
      <c r="Z33" s="47">
        <v>0</v>
      </c>
      <c r="AA33">
        <v>0</v>
      </c>
      <c r="AB33">
        <v>0</v>
      </c>
      <c r="AC33">
        <v>0</v>
      </c>
      <c r="AD33">
        <v>74.33</v>
      </c>
      <c r="AE33">
        <v>134.93</v>
      </c>
      <c r="AF33">
        <v>133.72999999999999</v>
      </c>
      <c r="AG33">
        <v>50.87</v>
      </c>
      <c r="AH33" s="39">
        <v>0</v>
      </c>
      <c r="AI33" s="47">
        <v>0</v>
      </c>
      <c r="AJ33" s="47">
        <v>0</v>
      </c>
      <c r="AK33">
        <v>0</v>
      </c>
      <c r="AL33">
        <v>0</v>
      </c>
    </row>
    <row r="34" spans="1:38" ht="15">
      <c r="A34" s="16">
        <v>45078</v>
      </c>
      <c r="B34">
        <v>656.27</v>
      </c>
      <c r="C34">
        <v>272.47000000000003</v>
      </c>
      <c r="D34">
        <v>0</v>
      </c>
      <c r="E34">
        <v>249.2</v>
      </c>
      <c r="F34">
        <v>390.14</v>
      </c>
      <c r="G34">
        <v>192.93</v>
      </c>
      <c r="H34" s="39">
        <v>0</v>
      </c>
      <c r="I34">
        <v>149.26999999999998</v>
      </c>
      <c r="J34">
        <v>221.33</v>
      </c>
      <c r="K34">
        <v>247.87</v>
      </c>
      <c r="L34">
        <v>274.2</v>
      </c>
      <c r="M34">
        <v>0</v>
      </c>
      <c r="N34">
        <v>340.67</v>
      </c>
      <c r="O34">
        <v>536.33000000000004</v>
      </c>
      <c r="P34">
        <v>0</v>
      </c>
      <c r="Q34">
        <v>141.27000000000001</v>
      </c>
      <c r="R34">
        <v>256.79999999999995</v>
      </c>
      <c r="S34">
        <v>133.74</v>
      </c>
      <c r="T34" s="47">
        <v>0</v>
      </c>
      <c r="U34">
        <v>116.8</v>
      </c>
      <c r="V34">
        <v>549.59999999999991</v>
      </c>
      <c r="W34">
        <v>788.6</v>
      </c>
      <c r="X34">
        <v>913.8599999999999</v>
      </c>
      <c r="Y34">
        <v>769.06</v>
      </c>
      <c r="Z34" s="47">
        <v>0</v>
      </c>
      <c r="AA34">
        <v>0</v>
      </c>
      <c r="AB34">
        <v>0</v>
      </c>
      <c r="AC34">
        <v>0</v>
      </c>
      <c r="AD34">
        <v>74.33</v>
      </c>
      <c r="AE34">
        <v>119.27000000000001</v>
      </c>
      <c r="AF34">
        <v>133.72999999999999</v>
      </c>
      <c r="AG34">
        <v>50.87</v>
      </c>
      <c r="AH34" s="39">
        <v>0</v>
      </c>
      <c r="AI34" s="47">
        <v>0</v>
      </c>
      <c r="AJ34" s="47">
        <v>0</v>
      </c>
      <c r="AK34">
        <v>0</v>
      </c>
      <c r="AL34">
        <v>0</v>
      </c>
    </row>
    <row r="35" spans="1:38" ht="15">
      <c r="A35" s="16">
        <v>45108</v>
      </c>
      <c r="B35">
        <v>897.67000000000007</v>
      </c>
      <c r="C35">
        <v>367.85</v>
      </c>
      <c r="D35">
        <v>0</v>
      </c>
      <c r="E35">
        <v>342.97</v>
      </c>
      <c r="F35">
        <v>535.6</v>
      </c>
      <c r="G35">
        <v>259.71999999999997</v>
      </c>
      <c r="H35" s="39">
        <v>0</v>
      </c>
      <c r="I35">
        <v>211.03</v>
      </c>
      <c r="J35">
        <v>296.33000000000004</v>
      </c>
      <c r="K35">
        <v>207.42000000000002</v>
      </c>
      <c r="L35">
        <v>376.52</v>
      </c>
      <c r="M35">
        <v>0</v>
      </c>
      <c r="N35">
        <v>462.43</v>
      </c>
      <c r="O35">
        <v>735.35</v>
      </c>
      <c r="P35">
        <v>0</v>
      </c>
      <c r="Q35">
        <v>189.63</v>
      </c>
      <c r="R35">
        <v>352.1</v>
      </c>
      <c r="S35">
        <v>184.55</v>
      </c>
      <c r="T35" s="47">
        <v>0</v>
      </c>
      <c r="U35">
        <v>155.75</v>
      </c>
      <c r="V35">
        <v>755.15</v>
      </c>
      <c r="W35">
        <v>1085.3</v>
      </c>
      <c r="X35">
        <v>1211.75</v>
      </c>
      <c r="Y35">
        <v>1059.77</v>
      </c>
      <c r="Z35" s="47">
        <v>0</v>
      </c>
      <c r="AA35">
        <v>0</v>
      </c>
      <c r="AB35">
        <v>0</v>
      </c>
      <c r="AC35">
        <v>0</v>
      </c>
      <c r="AD35">
        <v>93.08</v>
      </c>
      <c r="AE35">
        <v>167.6</v>
      </c>
      <c r="AF35">
        <v>120.42</v>
      </c>
      <c r="AG35">
        <v>60.67</v>
      </c>
      <c r="AH35" s="39">
        <v>0</v>
      </c>
      <c r="AI35" s="47">
        <v>0</v>
      </c>
      <c r="AJ35" s="47">
        <v>0</v>
      </c>
      <c r="AK35">
        <v>0</v>
      </c>
      <c r="AL35">
        <v>0</v>
      </c>
    </row>
    <row r="36" spans="1:38" ht="15">
      <c r="A36" s="16">
        <v>45139</v>
      </c>
      <c r="B36">
        <v>654.93000000000006</v>
      </c>
      <c r="C36">
        <v>268.07</v>
      </c>
      <c r="D36">
        <v>0</v>
      </c>
      <c r="E36">
        <v>249.46</v>
      </c>
      <c r="F36">
        <v>390.47</v>
      </c>
      <c r="G36">
        <v>193.46</v>
      </c>
      <c r="H36" s="39">
        <v>0</v>
      </c>
      <c r="I36">
        <v>153.67000000000002</v>
      </c>
      <c r="J36">
        <v>221.54000000000002</v>
      </c>
      <c r="K36">
        <v>151.60000000000002</v>
      </c>
      <c r="L36">
        <v>274.2</v>
      </c>
      <c r="M36">
        <v>0</v>
      </c>
      <c r="N36">
        <v>340.67</v>
      </c>
      <c r="O36">
        <v>536.33000000000004</v>
      </c>
      <c r="P36">
        <v>0</v>
      </c>
      <c r="Q36">
        <v>138.07</v>
      </c>
      <c r="R36">
        <v>256.93</v>
      </c>
      <c r="S36">
        <v>135.07</v>
      </c>
      <c r="T36" s="47">
        <v>0</v>
      </c>
      <c r="U36">
        <v>113.6</v>
      </c>
      <c r="V36">
        <v>550.79999999999995</v>
      </c>
      <c r="W36">
        <v>791.53</v>
      </c>
      <c r="X36">
        <v>892.47</v>
      </c>
      <c r="Y36">
        <v>772.8</v>
      </c>
      <c r="Z36" s="47">
        <v>0</v>
      </c>
      <c r="AA36">
        <v>0</v>
      </c>
      <c r="AB36">
        <v>0</v>
      </c>
      <c r="AC36">
        <v>0</v>
      </c>
      <c r="AD36">
        <v>74.47</v>
      </c>
      <c r="AE36">
        <v>121.6</v>
      </c>
      <c r="AF36">
        <v>96.33</v>
      </c>
      <c r="AG36">
        <v>48.53</v>
      </c>
      <c r="AH36" s="39">
        <v>0</v>
      </c>
      <c r="AI36" s="47">
        <v>0</v>
      </c>
      <c r="AJ36" s="47">
        <v>0</v>
      </c>
      <c r="AK36">
        <v>0</v>
      </c>
      <c r="AL36">
        <v>0</v>
      </c>
    </row>
    <row r="37" spans="1:38" ht="15">
      <c r="A37" s="16">
        <v>45170</v>
      </c>
      <c r="B37">
        <v>733.93000000000006</v>
      </c>
      <c r="C37">
        <v>300.83000000000004</v>
      </c>
      <c r="D37">
        <v>0</v>
      </c>
      <c r="E37">
        <v>280.60000000000002</v>
      </c>
      <c r="F37">
        <v>437.98</v>
      </c>
      <c r="G37">
        <v>211.35000000000002</v>
      </c>
      <c r="H37" s="39">
        <v>0</v>
      </c>
      <c r="I37">
        <v>172.62</v>
      </c>
      <c r="J37">
        <v>240.95</v>
      </c>
      <c r="K37">
        <v>169.51</v>
      </c>
      <c r="L37">
        <v>307.96000000000004</v>
      </c>
      <c r="M37">
        <v>0</v>
      </c>
      <c r="N37">
        <v>377.27</v>
      </c>
      <c r="O37">
        <v>601.27</v>
      </c>
      <c r="P37">
        <v>0</v>
      </c>
      <c r="Q37">
        <v>155.12</v>
      </c>
      <c r="R37">
        <v>287.87</v>
      </c>
      <c r="S37">
        <v>150.78</v>
      </c>
      <c r="T37" s="47">
        <v>0</v>
      </c>
      <c r="U37">
        <v>127.35</v>
      </c>
      <c r="V37">
        <v>617.45000000000005</v>
      </c>
      <c r="W37">
        <v>887.42000000000007</v>
      </c>
      <c r="X37">
        <v>988.63</v>
      </c>
      <c r="Y37">
        <v>866.56</v>
      </c>
      <c r="Z37" s="47">
        <v>0</v>
      </c>
      <c r="AA37">
        <v>0</v>
      </c>
      <c r="AB37">
        <v>0</v>
      </c>
      <c r="AC37">
        <v>0</v>
      </c>
      <c r="AD37">
        <v>74.47</v>
      </c>
      <c r="AE37">
        <v>137.19999999999999</v>
      </c>
      <c r="AF37">
        <v>96.33</v>
      </c>
      <c r="AG37">
        <v>48.53</v>
      </c>
      <c r="AH37" s="39">
        <v>0</v>
      </c>
      <c r="AI37" s="47">
        <v>0</v>
      </c>
      <c r="AJ37" s="47">
        <v>0</v>
      </c>
      <c r="AK37">
        <v>0</v>
      </c>
      <c r="AL37">
        <v>0</v>
      </c>
    </row>
    <row r="38" spans="1:38" ht="15">
      <c r="A38" s="16">
        <v>45200</v>
      </c>
      <c r="B38">
        <v>818.67000000000007</v>
      </c>
      <c r="C38">
        <v>335.08000000000004</v>
      </c>
      <c r="D38">
        <v>0</v>
      </c>
      <c r="E38">
        <v>311.60000000000002</v>
      </c>
      <c r="F38">
        <v>487.75</v>
      </c>
      <c r="G38">
        <v>241.7</v>
      </c>
      <c r="H38" s="39">
        <v>0</v>
      </c>
      <c r="I38">
        <v>187.13</v>
      </c>
      <c r="J38">
        <v>276.91000000000003</v>
      </c>
      <c r="K38">
        <v>189.5</v>
      </c>
      <c r="L38">
        <v>342.75</v>
      </c>
      <c r="M38">
        <v>0</v>
      </c>
      <c r="N38">
        <v>425.83000000000004</v>
      </c>
      <c r="O38">
        <v>670.42000000000007</v>
      </c>
      <c r="P38">
        <v>0</v>
      </c>
      <c r="Q38">
        <v>176.2</v>
      </c>
      <c r="R38">
        <v>321.16999999999996</v>
      </c>
      <c r="S38">
        <v>168.82999999999998</v>
      </c>
      <c r="T38" s="47">
        <v>0</v>
      </c>
      <c r="U38">
        <v>142</v>
      </c>
      <c r="V38">
        <v>688.5</v>
      </c>
      <c r="W38">
        <v>989.49</v>
      </c>
      <c r="X38">
        <v>1131.1400000000001</v>
      </c>
      <c r="Y38">
        <v>964.99</v>
      </c>
      <c r="Z38" s="47">
        <v>0</v>
      </c>
      <c r="AA38" s="47">
        <v>0</v>
      </c>
      <c r="AB38">
        <v>0</v>
      </c>
      <c r="AC38">
        <v>0</v>
      </c>
      <c r="AD38">
        <v>92.95</v>
      </c>
      <c r="AE38">
        <v>154.32999999999998</v>
      </c>
      <c r="AF38">
        <v>119.48</v>
      </c>
      <c r="AG38">
        <v>58.6</v>
      </c>
      <c r="AH38" s="39">
        <v>0</v>
      </c>
      <c r="AI38" s="47">
        <v>0</v>
      </c>
      <c r="AJ38" s="47">
        <v>0</v>
      </c>
      <c r="AK38">
        <v>0</v>
      </c>
      <c r="AL38">
        <v>0</v>
      </c>
    </row>
    <row r="39" spans="1:38" ht="15">
      <c r="A39" s="16">
        <v>45231</v>
      </c>
      <c r="B39">
        <v>733.93000000000006</v>
      </c>
      <c r="C39">
        <v>300.83000000000004</v>
      </c>
      <c r="D39">
        <v>0</v>
      </c>
      <c r="E39">
        <v>280.37</v>
      </c>
      <c r="F39">
        <v>437.65</v>
      </c>
      <c r="G39">
        <v>211.22</v>
      </c>
      <c r="H39" s="39">
        <v>0</v>
      </c>
      <c r="I39">
        <v>167.67000000000002</v>
      </c>
      <c r="J39">
        <v>240.95</v>
      </c>
      <c r="K39">
        <v>169.51</v>
      </c>
      <c r="L39">
        <v>307.96000000000004</v>
      </c>
      <c r="M39">
        <v>0</v>
      </c>
      <c r="N39">
        <v>377.27</v>
      </c>
      <c r="O39">
        <v>601.27</v>
      </c>
      <c r="P39">
        <v>0</v>
      </c>
      <c r="Q39">
        <v>158.73000000000002</v>
      </c>
      <c r="R39">
        <v>287.87</v>
      </c>
      <c r="S39">
        <v>150.78</v>
      </c>
      <c r="T39" s="47">
        <v>0</v>
      </c>
      <c r="U39">
        <v>127.35</v>
      </c>
      <c r="V39">
        <v>617.45000000000005</v>
      </c>
      <c r="W39">
        <v>887.49</v>
      </c>
      <c r="X39">
        <v>1004.19</v>
      </c>
      <c r="Y39">
        <v>865.55</v>
      </c>
      <c r="Z39" s="47">
        <v>0</v>
      </c>
      <c r="AA39" s="47">
        <v>0</v>
      </c>
      <c r="AB39">
        <v>0</v>
      </c>
      <c r="AC39">
        <v>0</v>
      </c>
      <c r="AD39">
        <v>74.33</v>
      </c>
      <c r="AE39">
        <v>139.53</v>
      </c>
      <c r="AF39">
        <v>95.4</v>
      </c>
      <c r="AG39">
        <v>46.47</v>
      </c>
      <c r="AH39" s="39">
        <v>0</v>
      </c>
      <c r="AI39" s="47">
        <v>0</v>
      </c>
      <c r="AJ39" s="47">
        <v>0</v>
      </c>
      <c r="AK39">
        <v>0</v>
      </c>
      <c r="AL39">
        <v>0</v>
      </c>
    </row>
    <row r="40" spans="1:38" ht="15">
      <c r="A40" s="16">
        <v>45261</v>
      </c>
      <c r="B40">
        <v>818.67000000000007</v>
      </c>
      <c r="C40">
        <v>335.08000000000004</v>
      </c>
      <c r="D40">
        <v>0</v>
      </c>
      <c r="E40">
        <v>311.58000000000004</v>
      </c>
      <c r="F40">
        <v>487.66</v>
      </c>
      <c r="G40">
        <v>241.67000000000002</v>
      </c>
      <c r="H40" s="39">
        <v>0</v>
      </c>
      <c r="I40">
        <v>186.57999999999998</v>
      </c>
      <c r="J40">
        <v>276.91000000000003</v>
      </c>
      <c r="K40">
        <v>189.5</v>
      </c>
      <c r="L40">
        <v>342.75</v>
      </c>
      <c r="M40">
        <v>0</v>
      </c>
      <c r="N40">
        <v>425.83000000000004</v>
      </c>
      <c r="O40">
        <v>670.42000000000007</v>
      </c>
      <c r="P40">
        <v>0</v>
      </c>
      <c r="Q40">
        <v>176.57999999999998</v>
      </c>
      <c r="R40">
        <v>321.16999999999996</v>
      </c>
      <c r="S40">
        <v>168.82999999999998</v>
      </c>
      <c r="T40" s="47">
        <v>0</v>
      </c>
      <c r="U40">
        <v>142</v>
      </c>
      <c r="V40">
        <v>688.5</v>
      </c>
      <c r="W40">
        <v>989.17000000000007</v>
      </c>
      <c r="X40">
        <v>1135</v>
      </c>
      <c r="Y40">
        <v>964.84</v>
      </c>
      <c r="Z40" s="47">
        <v>0</v>
      </c>
      <c r="AA40" s="47">
        <v>0</v>
      </c>
      <c r="AB40">
        <v>0</v>
      </c>
      <c r="AC40">
        <v>0</v>
      </c>
      <c r="AD40">
        <v>92.92</v>
      </c>
      <c r="AE40">
        <v>154.82999999999998</v>
      </c>
      <c r="AF40">
        <v>119.25</v>
      </c>
      <c r="AG40">
        <v>58.08</v>
      </c>
      <c r="AH40" s="39">
        <v>0</v>
      </c>
      <c r="AI40" s="47">
        <v>0</v>
      </c>
      <c r="AJ40" s="47">
        <v>0</v>
      </c>
      <c r="AK40">
        <v>0</v>
      </c>
      <c r="AL40">
        <v>0</v>
      </c>
    </row>
    <row r="41" spans="1:38" ht="15">
      <c r="A41" s="16">
        <v>45292</v>
      </c>
      <c r="B41">
        <v>1006.51</v>
      </c>
      <c r="C41">
        <v>433.18</v>
      </c>
      <c r="D41">
        <v>0</v>
      </c>
      <c r="E41">
        <v>421.85</v>
      </c>
      <c r="F41">
        <v>617.29</v>
      </c>
      <c r="G41">
        <v>444.12</v>
      </c>
      <c r="H41" s="39">
        <v>0</v>
      </c>
      <c r="I41">
        <v>224.42</v>
      </c>
      <c r="J41">
        <v>348.57</v>
      </c>
      <c r="K41">
        <v>370.47</v>
      </c>
      <c r="L41">
        <v>412.31</v>
      </c>
      <c r="M41">
        <v>0</v>
      </c>
      <c r="N41">
        <v>536.68999999999994</v>
      </c>
      <c r="O41">
        <v>829.72</v>
      </c>
      <c r="P41">
        <v>0</v>
      </c>
      <c r="Q41">
        <v>212.28</v>
      </c>
      <c r="R41">
        <v>387.6</v>
      </c>
      <c r="S41">
        <v>202.6</v>
      </c>
      <c r="T41" s="47">
        <v>0</v>
      </c>
      <c r="U41">
        <v>210.38</v>
      </c>
      <c r="V41">
        <v>848.98</v>
      </c>
      <c r="W41">
        <v>1260.24</v>
      </c>
      <c r="X41">
        <v>1482.9</v>
      </c>
      <c r="Y41">
        <v>1172.1300000000001</v>
      </c>
      <c r="Z41" s="47">
        <v>0</v>
      </c>
      <c r="AA41" s="47">
        <v>0</v>
      </c>
      <c r="AB41">
        <v>0</v>
      </c>
      <c r="AC41">
        <v>0</v>
      </c>
      <c r="AD41">
        <v>299</v>
      </c>
      <c r="AE41">
        <v>177.38</v>
      </c>
      <c r="AF41">
        <v>580.98</v>
      </c>
      <c r="AG41">
        <v>89.02</v>
      </c>
      <c r="AH41" s="39">
        <v>0</v>
      </c>
      <c r="AI41" s="47">
        <v>0</v>
      </c>
      <c r="AJ41" s="47">
        <v>0</v>
      </c>
      <c r="AK41">
        <v>0</v>
      </c>
      <c r="AL41">
        <v>0</v>
      </c>
    </row>
    <row r="42" spans="1:38" ht="15">
      <c r="A42" s="16">
        <v>45323</v>
      </c>
      <c r="B42">
        <v>665.4</v>
      </c>
      <c r="C42">
        <v>287.13</v>
      </c>
      <c r="D42">
        <v>0</v>
      </c>
      <c r="E42">
        <v>281.14</v>
      </c>
      <c r="F42">
        <v>408.2</v>
      </c>
      <c r="G42">
        <v>287.52999999999997</v>
      </c>
      <c r="H42" s="39">
        <v>0</v>
      </c>
      <c r="I42">
        <v>149.26999999999998</v>
      </c>
      <c r="J42">
        <v>221.33</v>
      </c>
      <c r="K42">
        <v>246.53</v>
      </c>
      <c r="L42">
        <v>274.2</v>
      </c>
      <c r="M42">
        <v>0</v>
      </c>
      <c r="N42">
        <v>348.6</v>
      </c>
      <c r="O42">
        <v>548.33000000000004</v>
      </c>
      <c r="P42">
        <v>0</v>
      </c>
      <c r="Q42">
        <v>141.27000000000001</v>
      </c>
      <c r="R42">
        <v>256.79999999999995</v>
      </c>
      <c r="S42">
        <v>133.74</v>
      </c>
      <c r="T42" s="47">
        <v>0</v>
      </c>
      <c r="U42">
        <v>138.87</v>
      </c>
      <c r="V42">
        <v>561.13</v>
      </c>
      <c r="W42">
        <v>829.6</v>
      </c>
      <c r="X42">
        <v>957.19999999999993</v>
      </c>
      <c r="Y42">
        <v>776.53</v>
      </c>
      <c r="Z42" s="47">
        <v>0</v>
      </c>
      <c r="AA42" s="47">
        <v>0</v>
      </c>
      <c r="AB42">
        <v>0</v>
      </c>
      <c r="AC42">
        <v>0</v>
      </c>
      <c r="AD42">
        <v>199.34</v>
      </c>
      <c r="AE42">
        <v>119.27000000000001</v>
      </c>
      <c r="AF42">
        <v>387.13</v>
      </c>
      <c r="AG42">
        <v>50.87</v>
      </c>
      <c r="AH42" s="39">
        <v>0</v>
      </c>
      <c r="AI42" s="47">
        <v>0</v>
      </c>
      <c r="AJ42" s="47">
        <v>0</v>
      </c>
      <c r="AK42">
        <v>0</v>
      </c>
      <c r="AL42">
        <v>0</v>
      </c>
    </row>
    <row r="43" spans="1:38" ht="15">
      <c r="A43" s="16">
        <v>45352</v>
      </c>
      <c r="B43">
        <v>831.75</v>
      </c>
      <c r="C43">
        <v>358.91999999999996</v>
      </c>
      <c r="D43">
        <v>0</v>
      </c>
      <c r="E43">
        <v>351.41</v>
      </c>
      <c r="F43">
        <v>510.25</v>
      </c>
      <c r="G43">
        <v>359.41999999999996</v>
      </c>
      <c r="H43" s="39">
        <v>0</v>
      </c>
      <c r="I43">
        <v>211.23000000000002</v>
      </c>
      <c r="J43">
        <v>276.67</v>
      </c>
      <c r="K43">
        <v>308.14999999999998</v>
      </c>
      <c r="L43">
        <v>342.75</v>
      </c>
      <c r="M43">
        <v>0</v>
      </c>
      <c r="N43">
        <v>434.28</v>
      </c>
      <c r="O43">
        <v>685.42000000000007</v>
      </c>
      <c r="P43">
        <v>0</v>
      </c>
      <c r="Q43">
        <v>176.93</v>
      </c>
      <c r="R43">
        <v>321</v>
      </c>
      <c r="S43">
        <v>167.16</v>
      </c>
      <c r="T43" s="47">
        <v>0</v>
      </c>
      <c r="U43">
        <v>175.05</v>
      </c>
      <c r="V43">
        <v>701.42000000000007</v>
      </c>
      <c r="W43">
        <v>1037</v>
      </c>
      <c r="X43">
        <v>1196.5</v>
      </c>
      <c r="Y43">
        <v>970.67000000000007</v>
      </c>
      <c r="Z43" s="47">
        <v>0</v>
      </c>
      <c r="AA43" s="47">
        <v>0</v>
      </c>
      <c r="AB43">
        <v>25.4</v>
      </c>
      <c r="AC43">
        <v>0</v>
      </c>
      <c r="AD43">
        <v>275.41000000000003</v>
      </c>
      <c r="AE43">
        <v>149.07999999999998</v>
      </c>
      <c r="AF43">
        <v>502.29999999999995</v>
      </c>
      <c r="AG43">
        <v>63.58</v>
      </c>
      <c r="AH43" s="39">
        <v>0</v>
      </c>
      <c r="AI43" s="47">
        <v>0</v>
      </c>
      <c r="AJ43" s="47">
        <v>0</v>
      </c>
      <c r="AK43">
        <v>0</v>
      </c>
      <c r="AL43">
        <v>0</v>
      </c>
    </row>
    <row r="44" spans="1:38" ht="15">
      <c r="A44" s="16">
        <v>45383</v>
      </c>
      <c r="B44">
        <v>665.4</v>
      </c>
      <c r="C44">
        <v>287.13</v>
      </c>
      <c r="D44">
        <v>0</v>
      </c>
      <c r="E44">
        <v>281.14</v>
      </c>
      <c r="F44">
        <v>408.33</v>
      </c>
      <c r="G44">
        <v>287.52999999999997</v>
      </c>
      <c r="H44" s="39">
        <v>0</v>
      </c>
      <c r="I44">
        <v>357</v>
      </c>
      <c r="J44">
        <v>221.33</v>
      </c>
      <c r="K44">
        <v>246.4</v>
      </c>
      <c r="L44">
        <v>274.2</v>
      </c>
      <c r="M44">
        <v>0</v>
      </c>
      <c r="N44">
        <v>296.74</v>
      </c>
      <c r="O44">
        <v>548.33000000000004</v>
      </c>
      <c r="P44">
        <v>0</v>
      </c>
      <c r="Q44">
        <v>144.07</v>
      </c>
      <c r="R44">
        <v>256.79999999999995</v>
      </c>
      <c r="S44">
        <v>133.74</v>
      </c>
      <c r="T44" s="47">
        <v>0</v>
      </c>
      <c r="U44">
        <v>142.26</v>
      </c>
      <c r="V44">
        <v>561.13</v>
      </c>
      <c r="W44">
        <v>829.6</v>
      </c>
      <c r="X44">
        <v>956.6</v>
      </c>
      <c r="Y44">
        <v>776.53</v>
      </c>
      <c r="Z44" s="47">
        <v>0</v>
      </c>
      <c r="AA44" s="47">
        <v>0</v>
      </c>
      <c r="AB44">
        <v>203.2</v>
      </c>
      <c r="AC44">
        <v>0</v>
      </c>
      <c r="AD44">
        <v>409.34</v>
      </c>
      <c r="AE44">
        <v>119.27000000000001</v>
      </c>
      <c r="AF44">
        <v>533.05999999999995</v>
      </c>
      <c r="AG44">
        <v>50.87</v>
      </c>
      <c r="AH44">
        <v>10.6</v>
      </c>
      <c r="AI44" s="47">
        <v>0</v>
      </c>
      <c r="AJ44" s="47">
        <v>0</v>
      </c>
      <c r="AK44">
        <v>0</v>
      </c>
      <c r="AL44">
        <v>0</v>
      </c>
    </row>
    <row r="45" spans="1:38" ht="15">
      <c r="A45" s="16">
        <v>45413</v>
      </c>
      <c r="B45">
        <v>744.3599999999999</v>
      </c>
      <c r="C45">
        <v>321.77999999999997</v>
      </c>
      <c r="D45">
        <v>0</v>
      </c>
      <c r="E45">
        <v>316.20000000000005</v>
      </c>
      <c r="F45">
        <v>456.87</v>
      </c>
      <c r="G45">
        <v>317.07</v>
      </c>
      <c r="H45" s="39">
        <v>0</v>
      </c>
      <c r="I45">
        <v>400.05</v>
      </c>
      <c r="J45">
        <v>240.72000000000003</v>
      </c>
      <c r="K45">
        <v>276.86</v>
      </c>
      <c r="L45">
        <v>307.96000000000004</v>
      </c>
      <c r="M45">
        <v>0</v>
      </c>
      <c r="N45">
        <v>331.95000000000005</v>
      </c>
      <c r="O45">
        <v>613.27</v>
      </c>
      <c r="P45">
        <v>0</v>
      </c>
      <c r="Q45">
        <v>161.88</v>
      </c>
      <c r="R45">
        <v>287.7</v>
      </c>
      <c r="S45">
        <v>149.44999999999999</v>
      </c>
      <c r="T45" s="47">
        <v>0</v>
      </c>
      <c r="U45">
        <v>160.05000000000001</v>
      </c>
      <c r="V45">
        <v>627.63</v>
      </c>
      <c r="W45">
        <v>925.3900000000001</v>
      </c>
      <c r="X45">
        <v>1052.7</v>
      </c>
      <c r="Y45">
        <v>869.93000000000006</v>
      </c>
      <c r="Z45" s="47">
        <v>0</v>
      </c>
      <c r="AA45" s="47">
        <v>0</v>
      </c>
      <c r="AB45">
        <v>228.6</v>
      </c>
      <c r="AC45">
        <v>0</v>
      </c>
      <c r="AD45">
        <v>460.5</v>
      </c>
      <c r="AE45">
        <v>134.93</v>
      </c>
      <c r="AF45">
        <v>599.70000000000005</v>
      </c>
      <c r="AG45">
        <v>50.87</v>
      </c>
      <c r="AH45">
        <v>10.6</v>
      </c>
      <c r="AI45" s="47">
        <v>0</v>
      </c>
      <c r="AJ45" s="47">
        <v>0</v>
      </c>
      <c r="AK45">
        <v>0</v>
      </c>
      <c r="AL45">
        <v>0</v>
      </c>
    </row>
    <row r="46" spans="1:38" ht="15">
      <c r="A46" s="16">
        <v>45444</v>
      </c>
      <c r="B46">
        <v>831.75</v>
      </c>
      <c r="C46">
        <v>358.91999999999996</v>
      </c>
      <c r="D46">
        <v>0</v>
      </c>
      <c r="E46">
        <v>351.41</v>
      </c>
      <c r="F46">
        <v>510.41999999999996</v>
      </c>
      <c r="G46">
        <v>359.41999999999996</v>
      </c>
      <c r="H46" s="39">
        <v>0</v>
      </c>
      <c r="I46">
        <v>446.25</v>
      </c>
      <c r="J46">
        <v>276.67</v>
      </c>
      <c r="K46">
        <v>308</v>
      </c>
      <c r="L46">
        <v>342.75</v>
      </c>
      <c r="M46">
        <v>0</v>
      </c>
      <c r="N46">
        <v>370.91</v>
      </c>
      <c r="O46">
        <v>685.42000000000007</v>
      </c>
      <c r="P46">
        <v>0</v>
      </c>
      <c r="Q46">
        <v>180.07999999999998</v>
      </c>
      <c r="R46">
        <v>321</v>
      </c>
      <c r="S46">
        <v>167.16</v>
      </c>
      <c r="T46" s="47">
        <v>0</v>
      </c>
      <c r="U46">
        <v>177.84</v>
      </c>
      <c r="V46">
        <v>701.42000000000007</v>
      </c>
      <c r="W46">
        <v>1037</v>
      </c>
      <c r="X46">
        <v>1195.75</v>
      </c>
      <c r="Y46">
        <v>970.67000000000007</v>
      </c>
      <c r="Z46" s="47">
        <v>0</v>
      </c>
      <c r="AA46" s="47">
        <v>0</v>
      </c>
      <c r="AB46">
        <v>254</v>
      </c>
      <c r="AC46">
        <v>0</v>
      </c>
      <c r="AD46">
        <v>511.66</v>
      </c>
      <c r="AE46">
        <v>149.07999999999998</v>
      </c>
      <c r="AF46">
        <v>666.34</v>
      </c>
      <c r="AG46">
        <v>63.58</v>
      </c>
      <c r="AH46">
        <v>10.6</v>
      </c>
      <c r="AI46" s="47">
        <v>0</v>
      </c>
      <c r="AJ46" s="47">
        <v>0</v>
      </c>
      <c r="AK46">
        <v>0</v>
      </c>
      <c r="AL46">
        <v>0</v>
      </c>
    </row>
    <row r="47" spans="1:38" ht="15">
      <c r="A47" s="16">
        <v>45474</v>
      </c>
      <c r="B47">
        <v>899.3</v>
      </c>
      <c r="C47">
        <v>373.9</v>
      </c>
      <c r="D47">
        <v>0</v>
      </c>
      <c r="E47">
        <v>342.57</v>
      </c>
      <c r="F47">
        <v>535.18000000000006</v>
      </c>
      <c r="G47">
        <v>258.95</v>
      </c>
      <c r="H47" s="39">
        <v>0</v>
      </c>
      <c r="I47">
        <v>204.98000000000002</v>
      </c>
      <c r="J47">
        <v>296.05</v>
      </c>
      <c r="K47">
        <v>340.48</v>
      </c>
      <c r="L47">
        <v>376.52</v>
      </c>
      <c r="M47">
        <v>0</v>
      </c>
      <c r="N47">
        <v>462.43</v>
      </c>
      <c r="O47">
        <v>735.35</v>
      </c>
      <c r="P47">
        <v>0</v>
      </c>
      <c r="Q47">
        <v>194.05</v>
      </c>
      <c r="R47">
        <v>351.9</v>
      </c>
      <c r="S47">
        <v>182.88</v>
      </c>
      <c r="T47" s="47">
        <v>0</v>
      </c>
      <c r="U47">
        <v>159.75</v>
      </c>
      <c r="V47">
        <v>753.55</v>
      </c>
      <c r="W47">
        <v>1081.28</v>
      </c>
      <c r="X47">
        <v>1238.32</v>
      </c>
      <c r="Y47">
        <v>1054.72</v>
      </c>
      <c r="Z47" s="47">
        <v>0</v>
      </c>
      <c r="AA47" s="47">
        <v>0</v>
      </c>
      <c r="AB47" s="39">
        <v>0</v>
      </c>
      <c r="AC47">
        <v>0</v>
      </c>
      <c r="AD47">
        <v>92.92</v>
      </c>
      <c r="AE47">
        <v>164.75</v>
      </c>
      <c r="AF47">
        <v>167.17</v>
      </c>
      <c r="AG47">
        <v>63.58</v>
      </c>
      <c r="AH47" s="39">
        <v>0</v>
      </c>
      <c r="AI47" s="47">
        <v>0</v>
      </c>
      <c r="AJ47" s="47">
        <v>0</v>
      </c>
      <c r="AK47">
        <v>0</v>
      </c>
      <c r="AL47">
        <v>0</v>
      </c>
    </row>
    <row r="48" spans="1:38" ht="15">
      <c r="A48" s="16">
        <v>45505</v>
      </c>
      <c r="B48">
        <v>656.27</v>
      </c>
      <c r="C48">
        <v>272.47000000000003</v>
      </c>
      <c r="D48">
        <v>0</v>
      </c>
      <c r="E48">
        <v>249.2</v>
      </c>
      <c r="F48">
        <v>390.14</v>
      </c>
      <c r="G48">
        <v>192.93</v>
      </c>
      <c r="H48" s="39">
        <v>0</v>
      </c>
      <c r="I48">
        <v>149.26999999999998</v>
      </c>
      <c r="J48">
        <v>221.33</v>
      </c>
      <c r="K48">
        <v>247.87</v>
      </c>
      <c r="L48">
        <v>274.2</v>
      </c>
      <c r="M48">
        <v>0</v>
      </c>
      <c r="N48">
        <v>340.67</v>
      </c>
      <c r="O48">
        <v>536.33000000000004</v>
      </c>
      <c r="P48">
        <v>0</v>
      </c>
      <c r="Q48">
        <v>141.27000000000001</v>
      </c>
      <c r="R48">
        <v>256.79999999999995</v>
      </c>
      <c r="S48">
        <v>133.74</v>
      </c>
      <c r="T48" s="47">
        <v>0</v>
      </c>
      <c r="U48">
        <v>116.8</v>
      </c>
      <c r="V48">
        <v>549.59999999999991</v>
      </c>
      <c r="W48">
        <v>788.6</v>
      </c>
      <c r="X48">
        <v>913.8599999999999</v>
      </c>
      <c r="Y48">
        <v>769.06</v>
      </c>
      <c r="Z48" s="47">
        <v>0</v>
      </c>
      <c r="AA48" s="47">
        <v>0</v>
      </c>
      <c r="AB48" s="39">
        <v>0</v>
      </c>
      <c r="AC48">
        <v>0</v>
      </c>
      <c r="AD48">
        <v>74.33</v>
      </c>
      <c r="AE48">
        <v>119.27000000000001</v>
      </c>
      <c r="AF48">
        <v>133.72999999999999</v>
      </c>
      <c r="AG48">
        <v>50.87</v>
      </c>
      <c r="AH48" s="39">
        <v>0</v>
      </c>
      <c r="AI48" s="47">
        <v>0</v>
      </c>
      <c r="AJ48" s="47">
        <v>0</v>
      </c>
      <c r="AK48">
        <v>0</v>
      </c>
      <c r="AL48">
        <v>0</v>
      </c>
    </row>
    <row r="49" spans="1:38" ht="15">
      <c r="A49" s="16">
        <v>45536</v>
      </c>
      <c r="B49">
        <v>820.32999999999993</v>
      </c>
      <c r="C49">
        <v>340.58000000000004</v>
      </c>
      <c r="D49">
        <v>0</v>
      </c>
      <c r="E49">
        <v>311.5</v>
      </c>
      <c r="F49">
        <v>487.66</v>
      </c>
      <c r="G49">
        <v>241.17000000000002</v>
      </c>
      <c r="H49" s="39">
        <v>0</v>
      </c>
      <c r="I49">
        <v>186.57999999999998</v>
      </c>
      <c r="J49">
        <v>276.67</v>
      </c>
      <c r="K49">
        <v>309.83000000000004</v>
      </c>
      <c r="L49">
        <v>342.75</v>
      </c>
      <c r="M49">
        <v>0</v>
      </c>
      <c r="N49">
        <v>425.83000000000004</v>
      </c>
      <c r="O49">
        <v>670.42000000000007</v>
      </c>
      <c r="P49">
        <v>0</v>
      </c>
      <c r="Q49">
        <v>176.57999999999998</v>
      </c>
      <c r="R49">
        <v>321</v>
      </c>
      <c r="S49">
        <v>167.16</v>
      </c>
      <c r="T49" s="47">
        <v>0</v>
      </c>
      <c r="U49">
        <v>146</v>
      </c>
      <c r="V49">
        <v>687</v>
      </c>
      <c r="W49">
        <v>985.75</v>
      </c>
      <c r="X49">
        <v>1142.3399999999999</v>
      </c>
      <c r="Y49">
        <v>961.34</v>
      </c>
      <c r="Z49" s="47">
        <v>0</v>
      </c>
      <c r="AA49" s="47">
        <v>0</v>
      </c>
      <c r="AB49" s="39">
        <v>0</v>
      </c>
      <c r="AC49">
        <v>0</v>
      </c>
      <c r="AD49">
        <v>92.92</v>
      </c>
      <c r="AE49">
        <v>149.07999999999998</v>
      </c>
      <c r="AF49">
        <v>167.17</v>
      </c>
      <c r="AG49">
        <v>63.58</v>
      </c>
      <c r="AH49" s="39">
        <v>0</v>
      </c>
      <c r="AI49" s="47">
        <v>0</v>
      </c>
      <c r="AJ49" s="47">
        <v>0</v>
      </c>
      <c r="AK49">
        <v>0</v>
      </c>
      <c r="AL49">
        <v>0</v>
      </c>
    </row>
    <row r="50" spans="1:38" ht="15">
      <c r="A50" s="16">
        <v>45566</v>
      </c>
      <c r="B50">
        <v>744.3599999999999</v>
      </c>
      <c r="C50">
        <v>321.77999999999997</v>
      </c>
      <c r="D50">
        <v>0</v>
      </c>
      <c r="E50">
        <v>316.20000000000005</v>
      </c>
      <c r="F50">
        <v>456.74</v>
      </c>
      <c r="G50">
        <v>317.07</v>
      </c>
      <c r="H50" s="39">
        <v>0</v>
      </c>
      <c r="I50">
        <v>167.67000000000002</v>
      </c>
      <c r="J50">
        <v>240.72000000000003</v>
      </c>
      <c r="K50">
        <v>277.02</v>
      </c>
      <c r="L50">
        <v>307.96000000000004</v>
      </c>
      <c r="M50">
        <v>0</v>
      </c>
      <c r="N50">
        <v>385.28999999999996</v>
      </c>
      <c r="O50">
        <v>613.27</v>
      </c>
      <c r="P50">
        <v>0</v>
      </c>
      <c r="Q50">
        <v>158.73000000000002</v>
      </c>
      <c r="R50">
        <v>287.7</v>
      </c>
      <c r="S50">
        <v>149.44999999999999</v>
      </c>
      <c r="T50" s="47">
        <v>0</v>
      </c>
      <c r="U50">
        <v>155.18</v>
      </c>
      <c r="V50">
        <v>627.63</v>
      </c>
      <c r="W50">
        <v>925.3900000000001</v>
      </c>
      <c r="X50">
        <v>1053.3</v>
      </c>
      <c r="Y50">
        <v>869.93000000000006</v>
      </c>
      <c r="Z50" s="47">
        <v>0</v>
      </c>
      <c r="AA50" s="47">
        <v>0</v>
      </c>
      <c r="AB50" s="39">
        <v>0</v>
      </c>
      <c r="AC50">
        <v>0</v>
      </c>
      <c r="AD50">
        <v>224.25</v>
      </c>
      <c r="AE50">
        <v>134.93</v>
      </c>
      <c r="AF50">
        <v>435.38</v>
      </c>
      <c r="AG50">
        <v>50.87</v>
      </c>
      <c r="AH50">
        <v>10.5</v>
      </c>
      <c r="AI50" s="47">
        <v>0</v>
      </c>
      <c r="AJ50" s="47">
        <v>0</v>
      </c>
      <c r="AK50">
        <v>0</v>
      </c>
      <c r="AL50">
        <v>0</v>
      </c>
    </row>
    <row r="51" spans="1:38" ht="15">
      <c r="A51" s="16">
        <v>45597</v>
      </c>
      <c r="B51">
        <v>744.3599999999999</v>
      </c>
      <c r="C51">
        <v>321.77999999999997</v>
      </c>
      <c r="D51">
        <v>0</v>
      </c>
      <c r="E51">
        <v>316.20000000000005</v>
      </c>
      <c r="F51">
        <v>456.74</v>
      </c>
      <c r="G51">
        <v>317.07</v>
      </c>
      <c r="H51" s="39">
        <v>0</v>
      </c>
      <c r="I51">
        <v>167.67000000000002</v>
      </c>
      <c r="J51">
        <v>240.72000000000003</v>
      </c>
      <c r="K51">
        <v>277.02</v>
      </c>
      <c r="L51">
        <v>307.96000000000004</v>
      </c>
      <c r="M51">
        <v>0</v>
      </c>
      <c r="N51">
        <v>385.28999999999996</v>
      </c>
      <c r="O51">
        <v>613.27</v>
      </c>
      <c r="P51">
        <v>0</v>
      </c>
      <c r="Q51">
        <v>158.73000000000002</v>
      </c>
      <c r="R51">
        <v>287.7</v>
      </c>
      <c r="S51">
        <v>149.44999999999999</v>
      </c>
      <c r="T51" s="47">
        <v>0</v>
      </c>
      <c r="U51">
        <v>155.18</v>
      </c>
      <c r="V51">
        <v>627.63</v>
      </c>
      <c r="W51">
        <v>925.3900000000001</v>
      </c>
      <c r="X51">
        <v>1053.3</v>
      </c>
      <c r="Y51">
        <v>869.93000000000006</v>
      </c>
      <c r="Z51" s="47">
        <v>0</v>
      </c>
      <c r="AA51" s="47">
        <v>0</v>
      </c>
      <c r="AB51" s="39">
        <v>0</v>
      </c>
      <c r="AC51">
        <v>0</v>
      </c>
      <c r="AD51">
        <v>224.25</v>
      </c>
      <c r="AE51">
        <v>134.93</v>
      </c>
      <c r="AF51">
        <v>435.38</v>
      </c>
      <c r="AG51">
        <v>50.87</v>
      </c>
      <c r="AH51" s="39">
        <v>0</v>
      </c>
      <c r="AI51" s="47">
        <v>0</v>
      </c>
      <c r="AJ51" s="47">
        <v>0</v>
      </c>
      <c r="AK51">
        <v>0</v>
      </c>
      <c r="AL51">
        <v>0</v>
      </c>
    </row>
    <row r="52" spans="1:38" ht="15">
      <c r="A52" s="16">
        <v>45627</v>
      </c>
      <c r="B52">
        <v>913.17000000000007</v>
      </c>
      <c r="C52">
        <v>394.77</v>
      </c>
      <c r="D52">
        <v>0</v>
      </c>
      <c r="E52">
        <v>386.48</v>
      </c>
      <c r="F52">
        <v>560.07999999999993</v>
      </c>
      <c r="G52">
        <v>390.05</v>
      </c>
      <c r="H52" s="39">
        <v>0</v>
      </c>
      <c r="I52">
        <v>205.98000000000002</v>
      </c>
      <c r="J52">
        <v>297.3</v>
      </c>
      <c r="K52">
        <v>340.15</v>
      </c>
      <c r="L52">
        <v>377.97</v>
      </c>
      <c r="M52">
        <v>0</v>
      </c>
      <c r="N52">
        <v>474.03</v>
      </c>
      <c r="O52">
        <v>752.4</v>
      </c>
      <c r="P52">
        <v>0</v>
      </c>
      <c r="Q52">
        <v>194.05</v>
      </c>
      <c r="R52">
        <v>352.75</v>
      </c>
      <c r="S52">
        <v>184.18</v>
      </c>
      <c r="T52" s="47">
        <v>0</v>
      </c>
      <c r="U52">
        <v>189.9</v>
      </c>
      <c r="V52">
        <v>769.27</v>
      </c>
      <c r="W52">
        <v>1135.5300000000002</v>
      </c>
      <c r="X52">
        <v>1294.7</v>
      </c>
      <c r="Y52">
        <v>1065.92</v>
      </c>
      <c r="Z52" s="47">
        <v>0</v>
      </c>
      <c r="AA52" s="47">
        <v>0</v>
      </c>
      <c r="AB52" s="39">
        <v>0</v>
      </c>
      <c r="AC52">
        <v>0</v>
      </c>
      <c r="AD52">
        <v>274.08</v>
      </c>
      <c r="AE52">
        <v>164.75</v>
      </c>
      <c r="AF52">
        <v>532.16999999999996</v>
      </c>
      <c r="AG52">
        <v>63.58</v>
      </c>
      <c r="AH52" s="39">
        <v>0</v>
      </c>
      <c r="AI52" s="47">
        <v>0</v>
      </c>
      <c r="AJ52" s="47">
        <v>0</v>
      </c>
      <c r="AK52">
        <v>0</v>
      </c>
      <c r="AL52">
        <v>0</v>
      </c>
    </row>
    <row r="59" spans="1:38" ht="15">
      <c r="A59" s="63" t="s">
        <v>4</v>
      </c>
      <c r="B59" s="63"/>
      <c r="C59" s="63"/>
      <c r="D59" s="63"/>
      <c r="E59" s="63"/>
    </row>
    <row r="60" spans="1:38" ht="15">
      <c r="A60" s="16">
        <v>44197</v>
      </c>
      <c r="B60" s="7">
        <v>190.14</v>
      </c>
      <c r="C60" s="7">
        <v>190.5</v>
      </c>
      <c r="D60" s="7">
        <v>242.76</v>
      </c>
      <c r="E60" s="7">
        <v>134.58000000000001</v>
      </c>
      <c r="F60" s="7">
        <v>185.88</v>
      </c>
      <c r="G60" s="7">
        <v>101.52</v>
      </c>
      <c r="H60" s="33">
        <v>0</v>
      </c>
      <c r="I60" s="7">
        <v>98.28</v>
      </c>
      <c r="J60" s="7">
        <v>163.68</v>
      </c>
      <c r="K60" s="7">
        <v>103.14</v>
      </c>
      <c r="L60" s="7">
        <v>198</v>
      </c>
      <c r="M60" s="7">
        <v>184.68</v>
      </c>
      <c r="N60" s="7">
        <v>261.77999999999997</v>
      </c>
      <c r="O60" s="7">
        <v>206.64</v>
      </c>
      <c r="P60" s="7">
        <v>176.16</v>
      </c>
      <c r="Q60" s="7">
        <v>101.7</v>
      </c>
      <c r="R60" s="7">
        <v>182.1</v>
      </c>
      <c r="S60" s="7">
        <v>142.19999999999999</v>
      </c>
      <c r="T60" s="42">
        <v>0</v>
      </c>
      <c r="U60" s="7">
        <v>80.52</v>
      </c>
      <c r="V60" s="7">
        <v>382.92</v>
      </c>
      <c r="W60" s="7">
        <v>546.78</v>
      </c>
      <c r="X60" s="7">
        <v>557.82000000000005</v>
      </c>
      <c r="Y60" s="7">
        <v>542.1</v>
      </c>
      <c r="Z60" s="7">
        <v>0</v>
      </c>
      <c r="AA60" s="7">
        <v>0</v>
      </c>
      <c r="AB60" s="7">
        <v>0</v>
      </c>
      <c r="AC60" s="7">
        <v>75.84</v>
      </c>
      <c r="AD60" s="7">
        <v>0</v>
      </c>
      <c r="AE60" s="7">
        <v>55.2</v>
      </c>
      <c r="AF60" s="7">
        <v>53.7</v>
      </c>
      <c r="AG60" s="7">
        <v>0</v>
      </c>
      <c r="AH60" s="33">
        <v>0</v>
      </c>
      <c r="AI60" s="42">
        <v>0</v>
      </c>
      <c r="AJ60" s="42">
        <v>0</v>
      </c>
      <c r="AK60" s="42">
        <v>0</v>
      </c>
      <c r="AL60" s="7"/>
    </row>
    <row r="61" spans="1:38" ht="15">
      <c r="A61" s="16">
        <v>44228</v>
      </c>
      <c r="B61" s="7">
        <v>126.76</v>
      </c>
      <c r="C61" s="7">
        <v>127</v>
      </c>
      <c r="D61" s="7">
        <v>161.84</v>
      </c>
      <c r="E61" s="7">
        <v>89.72</v>
      </c>
      <c r="F61" s="7">
        <v>123.92</v>
      </c>
      <c r="G61" s="7">
        <v>67.680000000000007</v>
      </c>
      <c r="H61" s="33">
        <v>0</v>
      </c>
      <c r="I61" s="7">
        <v>65.52</v>
      </c>
      <c r="J61" s="7">
        <v>109.12</v>
      </c>
      <c r="K61" s="7">
        <v>68.760000000000005</v>
      </c>
      <c r="L61" s="7">
        <v>132</v>
      </c>
      <c r="M61" s="7">
        <v>123.12</v>
      </c>
      <c r="N61" s="7">
        <v>174.52</v>
      </c>
      <c r="O61" s="7">
        <v>137.76</v>
      </c>
      <c r="P61" s="7">
        <v>117.44</v>
      </c>
      <c r="Q61" s="7">
        <v>67.8</v>
      </c>
      <c r="R61" s="7">
        <v>121.4</v>
      </c>
      <c r="S61" s="7">
        <v>94.8</v>
      </c>
      <c r="T61" s="42">
        <v>0</v>
      </c>
      <c r="U61" s="7">
        <v>53.68</v>
      </c>
      <c r="V61" s="7">
        <v>255.28</v>
      </c>
      <c r="W61" s="7">
        <v>364.52</v>
      </c>
      <c r="X61" s="7">
        <v>371.88</v>
      </c>
      <c r="Y61" s="7">
        <v>361.4</v>
      </c>
      <c r="Z61" s="7">
        <v>0</v>
      </c>
      <c r="AA61" s="7">
        <v>0</v>
      </c>
      <c r="AB61" s="7">
        <v>0</v>
      </c>
      <c r="AC61" s="7">
        <v>50.56</v>
      </c>
      <c r="AD61" s="7">
        <v>0</v>
      </c>
      <c r="AE61" s="7">
        <v>36.799999999999997</v>
      </c>
      <c r="AF61" s="7">
        <v>35.799999999999997</v>
      </c>
      <c r="AG61" s="7">
        <v>0</v>
      </c>
      <c r="AH61" s="33">
        <v>0</v>
      </c>
      <c r="AI61" s="42">
        <v>0</v>
      </c>
      <c r="AJ61" s="42">
        <v>0</v>
      </c>
      <c r="AK61" s="42">
        <v>0</v>
      </c>
      <c r="AL61" s="7"/>
    </row>
    <row r="62" spans="1:38" ht="15">
      <c r="A62" s="16">
        <v>44256</v>
      </c>
      <c r="B62" s="7">
        <v>126.76</v>
      </c>
      <c r="C62" s="7">
        <v>127</v>
      </c>
      <c r="D62" s="7">
        <v>161.84</v>
      </c>
      <c r="E62" s="7">
        <v>89.72</v>
      </c>
      <c r="F62" s="7">
        <v>123.92</v>
      </c>
      <c r="G62" s="7">
        <v>67.680000000000007</v>
      </c>
      <c r="H62" s="33">
        <v>0</v>
      </c>
      <c r="I62" s="7">
        <v>65.52</v>
      </c>
      <c r="J62" s="7">
        <v>109.12</v>
      </c>
      <c r="K62" s="7">
        <v>68.760000000000005</v>
      </c>
      <c r="L62" s="7">
        <v>132</v>
      </c>
      <c r="M62" s="7">
        <v>123.12</v>
      </c>
      <c r="N62" s="7">
        <v>174.52</v>
      </c>
      <c r="O62" s="7">
        <v>137.76</v>
      </c>
      <c r="P62" s="7">
        <v>117.44</v>
      </c>
      <c r="Q62" s="7">
        <v>67.8</v>
      </c>
      <c r="R62" s="7">
        <v>121.4</v>
      </c>
      <c r="S62" s="7">
        <v>94.8</v>
      </c>
      <c r="T62" s="42">
        <v>0</v>
      </c>
      <c r="U62" s="7">
        <v>53.68</v>
      </c>
      <c r="V62" s="7">
        <v>255.28</v>
      </c>
      <c r="W62" s="7">
        <v>364.52</v>
      </c>
      <c r="X62" s="7">
        <v>371.88</v>
      </c>
      <c r="Y62" s="7">
        <v>361.4</v>
      </c>
      <c r="Z62" s="7">
        <v>0</v>
      </c>
      <c r="AA62" s="7">
        <v>0</v>
      </c>
      <c r="AB62" s="7">
        <v>0</v>
      </c>
      <c r="AC62" s="7">
        <v>50.56</v>
      </c>
      <c r="AD62" s="7">
        <v>0</v>
      </c>
      <c r="AE62" s="7">
        <v>36.799999999999997</v>
      </c>
      <c r="AF62" s="7">
        <v>35.799999999999997</v>
      </c>
      <c r="AG62" s="7">
        <v>0</v>
      </c>
      <c r="AH62" s="33">
        <v>0</v>
      </c>
      <c r="AI62" s="42">
        <v>0</v>
      </c>
      <c r="AJ62" s="42">
        <v>0</v>
      </c>
      <c r="AK62" s="42">
        <v>0</v>
      </c>
      <c r="AL62" s="7"/>
    </row>
    <row r="63" spans="1:38" ht="15">
      <c r="A63" s="16">
        <v>44287</v>
      </c>
      <c r="B63" s="7">
        <v>126.76</v>
      </c>
      <c r="C63" s="7">
        <v>127</v>
      </c>
      <c r="D63" s="7">
        <v>161.84</v>
      </c>
      <c r="E63" s="7">
        <v>89.72</v>
      </c>
      <c r="F63" s="7">
        <v>123.92</v>
      </c>
      <c r="G63" s="7">
        <v>67.680000000000007</v>
      </c>
      <c r="H63" s="33">
        <v>0</v>
      </c>
      <c r="I63" s="7">
        <v>65.64</v>
      </c>
      <c r="J63" s="7">
        <v>109.12</v>
      </c>
      <c r="K63" s="7">
        <v>68.760000000000005</v>
      </c>
      <c r="L63" s="7">
        <v>131.74</v>
      </c>
      <c r="M63" s="7">
        <v>85.22</v>
      </c>
      <c r="N63" s="7">
        <v>174.48</v>
      </c>
      <c r="O63" s="7">
        <v>191.88</v>
      </c>
      <c r="P63" s="7">
        <v>96.04</v>
      </c>
      <c r="Q63" s="7">
        <v>67.8</v>
      </c>
      <c r="R63" s="7">
        <v>121.4</v>
      </c>
      <c r="S63" s="7">
        <v>81</v>
      </c>
      <c r="T63" s="42">
        <v>0</v>
      </c>
      <c r="U63" s="7">
        <v>53.68</v>
      </c>
      <c r="V63" s="7">
        <v>255.28</v>
      </c>
      <c r="W63" s="7">
        <v>364.52</v>
      </c>
      <c r="X63" s="7">
        <v>371.88</v>
      </c>
      <c r="Y63" s="7">
        <v>361.4</v>
      </c>
      <c r="Z63" s="7">
        <v>0</v>
      </c>
      <c r="AA63" s="7">
        <v>0</v>
      </c>
      <c r="AB63" s="7">
        <v>0</v>
      </c>
      <c r="AC63" s="7">
        <v>25.28</v>
      </c>
      <c r="AD63" s="7">
        <v>0</v>
      </c>
      <c r="AE63" s="7">
        <v>36.799999999999997</v>
      </c>
      <c r="AF63" s="7">
        <v>42.56</v>
      </c>
      <c r="AG63" s="7">
        <v>0</v>
      </c>
      <c r="AH63" s="33">
        <v>0</v>
      </c>
      <c r="AI63" s="42">
        <v>0</v>
      </c>
      <c r="AJ63" s="42">
        <v>0</v>
      </c>
      <c r="AK63" s="42">
        <v>0</v>
      </c>
      <c r="AL63" s="7"/>
    </row>
    <row r="64" spans="1:38" ht="15">
      <c r="A64" s="16">
        <v>44317</v>
      </c>
      <c r="B64" s="7">
        <v>158.44999999999999</v>
      </c>
      <c r="C64" s="7">
        <v>158.75</v>
      </c>
      <c r="D64" s="7">
        <v>202.3</v>
      </c>
      <c r="E64" s="7">
        <v>112.15</v>
      </c>
      <c r="F64" s="7">
        <v>154.9</v>
      </c>
      <c r="G64" s="7">
        <v>84.6</v>
      </c>
      <c r="H64" s="33">
        <v>0</v>
      </c>
      <c r="I64" s="7">
        <v>82.2</v>
      </c>
      <c r="J64" s="7">
        <v>136.4</v>
      </c>
      <c r="K64" s="7">
        <v>85.95</v>
      </c>
      <c r="L64" s="7">
        <v>164.35</v>
      </c>
      <c r="M64" s="7">
        <v>59.15</v>
      </c>
      <c r="N64" s="7">
        <v>218.05</v>
      </c>
      <c r="O64" s="7">
        <v>307.5</v>
      </c>
      <c r="P64" s="7">
        <v>93.3</v>
      </c>
      <c r="Q64" s="7">
        <v>84.75</v>
      </c>
      <c r="R64" s="7">
        <v>151.75</v>
      </c>
      <c r="S64" s="7">
        <v>84</v>
      </c>
      <c r="T64" s="42">
        <v>0</v>
      </c>
      <c r="U64" s="7">
        <v>67.099999999999994</v>
      </c>
      <c r="V64" s="7">
        <v>319.10000000000002</v>
      </c>
      <c r="W64" s="7">
        <v>455.65</v>
      </c>
      <c r="X64" s="7">
        <v>464.85</v>
      </c>
      <c r="Y64" s="7">
        <v>451.75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46</v>
      </c>
      <c r="AF64" s="7">
        <v>61.65</v>
      </c>
      <c r="AG64" s="7">
        <v>0</v>
      </c>
      <c r="AH64" s="33">
        <v>0</v>
      </c>
      <c r="AI64" s="42">
        <v>0</v>
      </c>
      <c r="AJ64" s="42">
        <v>0</v>
      </c>
      <c r="AK64" s="7">
        <v>0</v>
      </c>
      <c r="AL64" s="7"/>
    </row>
    <row r="65" spans="1:38" ht="15">
      <c r="A65" s="16">
        <v>44348</v>
      </c>
      <c r="B65" s="7">
        <v>126.76</v>
      </c>
      <c r="C65" s="7">
        <v>127</v>
      </c>
      <c r="D65" s="7">
        <v>161.84</v>
      </c>
      <c r="E65" s="7">
        <v>89.72</v>
      </c>
      <c r="F65" s="7">
        <v>123.92</v>
      </c>
      <c r="G65" s="7">
        <v>67.680000000000007</v>
      </c>
      <c r="H65" s="33">
        <v>0</v>
      </c>
      <c r="I65" s="7">
        <v>65.760000000000005</v>
      </c>
      <c r="J65" s="7">
        <v>109.12</v>
      </c>
      <c r="K65" s="7">
        <v>68.760000000000005</v>
      </c>
      <c r="L65" s="7">
        <v>131.47999999999999</v>
      </c>
      <c r="M65" s="7">
        <v>47.32</v>
      </c>
      <c r="N65" s="7">
        <v>174.44</v>
      </c>
      <c r="O65" s="7">
        <v>246</v>
      </c>
      <c r="P65" s="7">
        <v>74.64</v>
      </c>
      <c r="Q65" s="7">
        <v>67.8</v>
      </c>
      <c r="R65" s="7">
        <v>121.4</v>
      </c>
      <c r="S65" s="7">
        <v>67.2</v>
      </c>
      <c r="T65" s="42">
        <v>0</v>
      </c>
      <c r="U65" s="7">
        <v>53.68</v>
      </c>
      <c r="V65" s="7">
        <v>255.28</v>
      </c>
      <c r="W65" s="7">
        <v>364.52</v>
      </c>
      <c r="X65" s="7">
        <v>371.88</v>
      </c>
      <c r="Y65" s="7">
        <v>361.4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36.799999999999997</v>
      </c>
      <c r="AF65" s="7">
        <v>49.32</v>
      </c>
      <c r="AG65" s="7">
        <v>0</v>
      </c>
      <c r="AH65" s="33">
        <v>0</v>
      </c>
      <c r="AI65" s="42">
        <v>0</v>
      </c>
      <c r="AJ65" s="42">
        <v>0</v>
      </c>
      <c r="AK65" s="7">
        <v>0</v>
      </c>
      <c r="AL65" s="7"/>
    </row>
    <row r="66" spans="1:38" ht="15">
      <c r="A66" s="16">
        <v>44378</v>
      </c>
      <c r="B66" s="7">
        <v>158.44999999999999</v>
      </c>
      <c r="C66" s="7">
        <v>158.75</v>
      </c>
      <c r="D66" s="7">
        <v>202.3</v>
      </c>
      <c r="E66" s="7">
        <v>112.15</v>
      </c>
      <c r="F66" s="7">
        <v>154.9</v>
      </c>
      <c r="G66" s="7">
        <v>84.6</v>
      </c>
      <c r="H66" s="33">
        <v>0</v>
      </c>
      <c r="I66" s="7">
        <v>82.2</v>
      </c>
      <c r="J66" s="7">
        <v>136.4</v>
      </c>
      <c r="K66" s="7">
        <v>85.95</v>
      </c>
      <c r="L66" s="7">
        <v>164.35</v>
      </c>
      <c r="M66" s="7">
        <v>59.15</v>
      </c>
      <c r="N66" s="7">
        <v>218.05</v>
      </c>
      <c r="O66" s="7">
        <v>307.5</v>
      </c>
      <c r="P66" s="7">
        <v>93.3</v>
      </c>
      <c r="Q66" s="7">
        <v>84.75</v>
      </c>
      <c r="R66" s="7">
        <v>151.75</v>
      </c>
      <c r="S66" s="7">
        <v>84</v>
      </c>
      <c r="T66" s="42">
        <v>0</v>
      </c>
      <c r="U66" s="7">
        <v>67.099999999999994</v>
      </c>
      <c r="V66" s="7">
        <v>319.10000000000002</v>
      </c>
      <c r="W66" s="7">
        <v>455.65</v>
      </c>
      <c r="X66" s="7">
        <v>464.85</v>
      </c>
      <c r="Y66" s="7">
        <v>451.75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46</v>
      </c>
      <c r="AF66" s="7">
        <v>61.65</v>
      </c>
      <c r="AG66" s="7">
        <v>0</v>
      </c>
      <c r="AH66" s="33">
        <v>0</v>
      </c>
      <c r="AI66" s="42">
        <v>0</v>
      </c>
      <c r="AJ66" s="42">
        <v>0</v>
      </c>
      <c r="AK66" s="7">
        <v>0</v>
      </c>
      <c r="AL66" s="7"/>
    </row>
    <row r="67" spans="1:38" ht="15">
      <c r="A67" s="16">
        <v>44409</v>
      </c>
      <c r="B67" s="7">
        <v>126.76</v>
      </c>
      <c r="C67" s="7">
        <v>127</v>
      </c>
      <c r="D67" s="7">
        <v>161.84</v>
      </c>
      <c r="E67" s="7">
        <v>89.72</v>
      </c>
      <c r="F67" s="7">
        <v>123.92</v>
      </c>
      <c r="G67" s="7">
        <v>67.680000000000007</v>
      </c>
      <c r="H67" s="33">
        <v>0</v>
      </c>
      <c r="I67" s="7">
        <v>65.760000000000005</v>
      </c>
      <c r="J67" s="7">
        <v>109.12</v>
      </c>
      <c r="K67" s="7">
        <v>68.760000000000005</v>
      </c>
      <c r="L67" s="7">
        <v>131.47999999999999</v>
      </c>
      <c r="M67" s="7">
        <v>47.32</v>
      </c>
      <c r="N67" s="7">
        <v>174.44</v>
      </c>
      <c r="O67" s="7">
        <v>246</v>
      </c>
      <c r="P67" s="7">
        <v>74.64</v>
      </c>
      <c r="Q67" s="7">
        <v>67.8</v>
      </c>
      <c r="R67" s="7">
        <v>121.4</v>
      </c>
      <c r="S67" s="7">
        <v>67.2</v>
      </c>
      <c r="T67" s="42">
        <v>0</v>
      </c>
      <c r="U67" s="7">
        <v>53.68</v>
      </c>
      <c r="V67" s="7">
        <v>255.28</v>
      </c>
      <c r="W67" s="7">
        <v>364.52</v>
      </c>
      <c r="X67" s="7">
        <v>371.88</v>
      </c>
      <c r="Y67" s="7">
        <v>361.4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36.799999999999997</v>
      </c>
      <c r="AF67" s="7">
        <v>49.32</v>
      </c>
      <c r="AG67" s="7">
        <v>0</v>
      </c>
      <c r="AH67" s="33">
        <v>0</v>
      </c>
      <c r="AI67" s="42">
        <v>0</v>
      </c>
      <c r="AJ67" s="42">
        <v>0</v>
      </c>
      <c r="AK67" s="7">
        <v>0</v>
      </c>
      <c r="AL67" s="7"/>
    </row>
    <row r="68" spans="1:38" ht="15">
      <c r="A68" s="16">
        <v>44440</v>
      </c>
      <c r="B68" s="7">
        <v>126.76</v>
      </c>
      <c r="C68" s="7">
        <v>127</v>
      </c>
      <c r="D68" s="7">
        <v>161.84</v>
      </c>
      <c r="E68" s="7">
        <v>89.72</v>
      </c>
      <c r="F68" s="7">
        <v>123.92</v>
      </c>
      <c r="G68" s="7">
        <v>67.680000000000007</v>
      </c>
      <c r="H68" s="33">
        <v>0</v>
      </c>
      <c r="I68" s="7">
        <v>65.760000000000005</v>
      </c>
      <c r="J68" s="7">
        <v>109.12</v>
      </c>
      <c r="K68" s="7">
        <v>68.760000000000005</v>
      </c>
      <c r="L68" s="7">
        <v>131.47999999999999</v>
      </c>
      <c r="M68" s="7">
        <v>47.32</v>
      </c>
      <c r="N68" s="7">
        <v>174.44</v>
      </c>
      <c r="O68" s="7">
        <v>246</v>
      </c>
      <c r="P68" s="7">
        <v>74.64</v>
      </c>
      <c r="Q68" s="7">
        <v>67.8</v>
      </c>
      <c r="R68" s="7">
        <v>121.4</v>
      </c>
      <c r="S68" s="7">
        <v>67.2</v>
      </c>
      <c r="T68" s="42">
        <v>0</v>
      </c>
      <c r="U68" s="7">
        <v>53.68</v>
      </c>
      <c r="V68" s="7">
        <v>255.28</v>
      </c>
      <c r="W68" s="7">
        <v>364.52</v>
      </c>
      <c r="X68" s="7">
        <v>371.88</v>
      </c>
      <c r="Y68" s="7">
        <v>361.4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36.799999999999997</v>
      </c>
      <c r="AF68" s="7">
        <v>49.32</v>
      </c>
      <c r="AG68" s="7">
        <v>0</v>
      </c>
      <c r="AH68" s="33">
        <v>0</v>
      </c>
      <c r="AI68" s="42">
        <v>0</v>
      </c>
      <c r="AJ68" s="42">
        <v>0</v>
      </c>
      <c r="AK68" s="7">
        <v>0</v>
      </c>
      <c r="AL68" s="7"/>
    </row>
    <row r="69" spans="1:38" ht="15">
      <c r="A69" s="16">
        <v>44470</v>
      </c>
      <c r="B69" s="7">
        <v>166.01</v>
      </c>
      <c r="C69" s="7">
        <v>169.15</v>
      </c>
      <c r="D69" s="7">
        <v>218.14</v>
      </c>
      <c r="E69" s="7">
        <v>112.71</v>
      </c>
      <c r="F69" s="7">
        <v>163.46</v>
      </c>
      <c r="G69" s="7">
        <v>93.44</v>
      </c>
      <c r="H69" s="33">
        <v>0</v>
      </c>
      <c r="I69" s="7">
        <v>91.04</v>
      </c>
      <c r="J69" s="7">
        <v>144.4</v>
      </c>
      <c r="K69" s="7">
        <v>92.87</v>
      </c>
      <c r="L69" s="7">
        <v>171.07</v>
      </c>
      <c r="M69" s="7">
        <v>58.63</v>
      </c>
      <c r="N69" s="7">
        <v>229.89</v>
      </c>
      <c r="O69" s="7">
        <v>328.1</v>
      </c>
      <c r="P69" s="7">
        <v>93.26</v>
      </c>
      <c r="Q69" s="7">
        <v>90.75</v>
      </c>
      <c r="R69" s="7">
        <v>159.63</v>
      </c>
      <c r="S69" s="7">
        <v>88</v>
      </c>
      <c r="T69" s="42">
        <v>0</v>
      </c>
      <c r="U69" s="7">
        <v>74.900000000000006</v>
      </c>
      <c r="V69" s="7">
        <v>338.94</v>
      </c>
      <c r="W69" s="7">
        <v>482.25</v>
      </c>
      <c r="X69" s="7">
        <v>489.29</v>
      </c>
      <c r="Y69" s="7">
        <v>473.59</v>
      </c>
      <c r="Z69" s="42">
        <v>0</v>
      </c>
      <c r="AA69" s="7">
        <v>0</v>
      </c>
      <c r="AB69" s="7">
        <v>0</v>
      </c>
      <c r="AC69" s="7">
        <v>0</v>
      </c>
      <c r="AD69" s="7">
        <v>0</v>
      </c>
      <c r="AE69" s="7">
        <v>61.32</v>
      </c>
      <c r="AF69" s="7">
        <v>61.01</v>
      </c>
      <c r="AG69" s="7">
        <v>0</v>
      </c>
      <c r="AH69" s="33">
        <v>0</v>
      </c>
      <c r="AI69" s="42">
        <v>0</v>
      </c>
      <c r="AJ69" s="42">
        <v>0</v>
      </c>
      <c r="AK69" s="7">
        <v>0</v>
      </c>
      <c r="AL69" s="7"/>
    </row>
    <row r="70" spans="1:38" ht="15">
      <c r="A70" s="16">
        <v>44501</v>
      </c>
      <c r="B70" s="7">
        <v>134.32</v>
      </c>
      <c r="C70" s="7">
        <v>137.4</v>
      </c>
      <c r="D70" s="7">
        <v>177.68</v>
      </c>
      <c r="E70" s="7">
        <v>90.28</v>
      </c>
      <c r="F70" s="7">
        <v>132.47999999999999</v>
      </c>
      <c r="G70" s="7">
        <v>76.52</v>
      </c>
      <c r="H70" s="33">
        <v>0</v>
      </c>
      <c r="I70" s="7">
        <v>74.599999999999994</v>
      </c>
      <c r="J70" s="7">
        <v>117.12</v>
      </c>
      <c r="K70" s="7">
        <v>75.680000000000007</v>
      </c>
      <c r="L70" s="7">
        <v>138.19999999999999</v>
      </c>
      <c r="M70" s="7">
        <v>46.8</v>
      </c>
      <c r="N70" s="7">
        <v>186.28</v>
      </c>
      <c r="O70" s="7">
        <v>266.60000000000002</v>
      </c>
      <c r="P70" s="7">
        <v>74.599999999999994</v>
      </c>
      <c r="Q70" s="7">
        <v>73.8</v>
      </c>
      <c r="R70" s="7">
        <v>129.28</v>
      </c>
      <c r="S70" s="7">
        <v>71.2</v>
      </c>
      <c r="T70" s="42">
        <v>0</v>
      </c>
      <c r="U70" s="7">
        <v>61.48</v>
      </c>
      <c r="V70" s="7">
        <v>275.12</v>
      </c>
      <c r="W70" s="7">
        <v>391.12</v>
      </c>
      <c r="X70" s="7">
        <v>396.32</v>
      </c>
      <c r="Y70" s="7">
        <v>383.24</v>
      </c>
      <c r="Z70" s="42">
        <v>0</v>
      </c>
      <c r="AA70" s="7">
        <v>0</v>
      </c>
      <c r="AB70" s="7">
        <v>0</v>
      </c>
      <c r="AC70" s="7">
        <v>0</v>
      </c>
      <c r="AD70" s="7">
        <v>0</v>
      </c>
      <c r="AE70" s="7">
        <v>52.12</v>
      </c>
      <c r="AF70" s="7">
        <v>48.68</v>
      </c>
      <c r="AG70" s="7">
        <v>0</v>
      </c>
      <c r="AH70" s="33">
        <v>0</v>
      </c>
      <c r="AI70" s="42">
        <v>0</v>
      </c>
      <c r="AJ70" s="42">
        <v>0</v>
      </c>
      <c r="AK70" s="7">
        <v>0</v>
      </c>
      <c r="AL70" s="7"/>
    </row>
    <row r="71" spans="1:38" ht="15">
      <c r="A71" s="16">
        <v>44531</v>
      </c>
      <c r="B71" s="7">
        <v>134.32</v>
      </c>
      <c r="C71" s="7">
        <v>137.4</v>
      </c>
      <c r="D71" s="7">
        <v>177.68</v>
      </c>
      <c r="E71" s="7">
        <v>90.28</v>
      </c>
      <c r="F71" s="7">
        <v>132.47999999999999</v>
      </c>
      <c r="G71" s="7">
        <v>76.52</v>
      </c>
      <c r="H71" s="33">
        <v>0</v>
      </c>
      <c r="I71" s="7">
        <v>74.599999999999994</v>
      </c>
      <c r="J71" s="7">
        <v>117.12</v>
      </c>
      <c r="K71" s="7">
        <v>75.680000000000007</v>
      </c>
      <c r="L71" s="7">
        <v>138.19999999999999</v>
      </c>
      <c r="M71" s="7">
        <v>46.8</v>
      </c>
      <c r="N71" s="7">
        <v>186.28</v>
      </c>
      <c r="O71" s="7">
        <v>266.60000000000002</v>
      </c>
      <c r="P71" s="7">
        <v>74.599999999999994</v>
      </c>
      <c r="Q71" s="7">
        <v>73.8</v>
      </c>
      <c r="R71" s="7">
        <v>129.28</v>
      </c>
      <c r="S71" s="7">
        <v>71.2</v>
      </c>
      <c r="T71" s="42">
        <v>0</v>
      </c>
      <c r="U71" s="7">
        <v>61.48</v>
      </c>
      <c r="V71" s="7">
        <v>275.12</v>
      </c>
      <c r="W71" s="7">
        <v>391.12</v>
      </c>
      <c r="X71" s="7">
        <v>396.32</v>
      </c>
      <c r="Y71" s="7">
        <v>383.24</v>
      </c>
      <c r="Z71" s="42">
        <v>0</v>
      </c>
      <c r="AA71" s="7">
        <v>0</v>
      </c>
      <c r="AB71" s="7">
        <v>0</v>
      </c>
      <c r="AC71" s="7">
        <v>0</v>
      </c>
      <c r="AD71" s="7">
        <v>0</v>
      </c>
      <c r="AE71" s="7">
        <v>52.12</v>
      </c>
      <c r="AF71" s="7">
        <v>48.68</v>
      </c>
      <c r="AG71" s="7">
        <v>0</v>
      </c>
      <c r="AH71" s="33">
        <v>0</v>
      </c>
      <c r="AI71" s="42">
        <v>0</v>
      </c>
      <c r="AJ71" s="42">
        <v>0</v>
      </c>
      <c r="AK71" s="7">
        <v>0</v>
      </c>
      <c r="AL71" s="7"/>
    </row>
    <row r="72" spans="1:38" ht="15">
      <c r="A72" s="16">
        <v>44562</v>
      </c>
      <c r="B72" s="7">
        <v>201.48</v>
      </c>
      <c r="C72" s="7">
        <v>206.1</v>
      </c>
      <c r="D72" s="7">
        <v>266.52</v>
      </c>
      <c r="E72" s="7">
        <v>135.41999999999999</v>
      </c>
      <c r="F72" s="7">
        <v>198.72</v>
      </c>
      <c r="G72" s="7">
        <v>114.78</v>
      </c>
      <c r="H72" s="33">
        <v>0</v>
      </c>
      <c r="I72" s="7">
        <v>111.9</v>
      </c>
      <c r="J72" s="7">
        <v>175.68</v>
      </c>
      <c r="K72" s="7">
        <v>113.52</v>
      </c>
      <c r="L72" s="7">
        <v>207.3</v>
      </c>
      <c r="M72" s="7">
        <v>70.2</v>
      </c>
      <c r="N72" s="7">
        <v>279.42</v>
      </c>
      <c r="O72" s="7">
        <v>399.9</v>
      </c>
      <c r="P72" s="7">
        <v>111.9</v>
      </c>
      <c r="Q72" s="7">
        <v>110.7</v>
      </c>
      <c r="R72" s="7">
        <v>193.92</v>
      </c>
      <c r="S72" s="7">
        <v>106.8</v>
      </c>
      <c r="T72" s="42">
        <v>0</v>
      </c>
      <c r="U72" s="7">
        <v>92.22</v>
      </c>
      <c r="V72" s="7">
        <v>412.68</v>
      </c>
      <c r="W72" s="7">
        <v>586.67999999999995</v>
      </c>
      <c r="X72" s="7">
        <v>594.48</v>
      </c>
      <c r="Y72" s="7">
        <v>574.86</v>
      </c>
      <c r="Z72" s="42">
        <v>0</v>
      </c>
      <c r="AA72" s="7">
        <v>0</v>
      </c>
      <c r="AB72" s="7">
        <v>0</v>
      </c>
      <c r="AC72" s="7">
        <v>0</v>
      </c>
      <c r="AD72" s="7">
        <v>0</v>
      </c>
      <c r="AE72" s="7">
        <v>78.180000000000007</v>
      </c>
      <c r="AF72" s="7">
        <v>73.02</v>
      </c>
      <c r="AG72" s="7">
        <v>0</v>
      </c>
      <c r="AH72" s="33">
        <v>0</v>
      </c>
      <c r="AI72" s="42">
        <v>0</v>
      </c>
      <c r="AJ72" s="42">
        <v>0</v>
      </c>
      <c r="AK72" s="7">
        <v>0</v>
      </c>
      <c r="AL72" s="7"/>
    </row>
    <row r="73" spans="1:38" ht="15">
      <c r="A73" s="16">
        <v>44593</v>
      </c>
      <c r="B73" s="7">
        <v>134.32</v>
      </c>
      <c r="C73" s="7">
        <v>137.4</v>
      </c>
      <c r="D73" s="7">
        <v>177.68</v>
      </c>
      <c r="E73" s="7">
        <v>90.28</v>
      </c>
      <c r="F73" s="7">
        <v>132.47999999999999</v>
      </c>
      <c r="G73" s="7">
        <v>76.52</v>
      </c>
      <c r="H73" s="33">
        <v>0</v>
      </c>
      <c r="I73" s="7">
        <v>74.599999999999994</v>
      </c>
      <c r="J73" s="7">
        <v>117.12</v>
      </c>
      <c r="K73" s="7">
        <v>75.680000000000007</v>
      </c>
      <c r="L73" s="7">
        <v>138.19999999999999</v>
      </c>
      <c r="M73" s="7">
        <v>46.8</v>
      </c>
      <c r="N73" s="7">
        <v>186.28</v>
      </c>
      <c r="O73" s="7">
        <v>266.60000000000002</v>
      </c>
      <c r="P73" s="7">
        <v>74.599999999999994</v>
      </c>
      <c r="Q73" s="7">
        <v>73.8</v>
      </c>
      <c r="R73" s="7">
        <v>129.28</v>
      </c>
      <c r="S73" s="7">
        <v>71.2</v>
      </c>
      <c r="T73" s="42">
        <v>0</v>
      </c>
      <c r="U73" s="7">
        <v>61.48</v>
      </c>
      <c r="V73" s="7">
        <v>275.12</v>
      </c>
      <c r="W73" s="7">
        <v>391.12</v>
      </c>
      <c r="X73" s="7">
        <v>396.32</v>
      </c>
      <c r="Y73" s="7">
        <v>383.24</v>
      </c>
      <c r="Z73" s="42">
        <v>0</v>
      </c>
      <c r="AA73" s="7">
        <v>0</v>
      </c>
      <c r="AB73" s="7">
        <v>0</v>
      </c>
      <c r="AC73" s="7">
        <v>0</v>
      </c>
      <c r="AD73" s="7">
        <v>0</v>
      </c>
      <c r="AE73" s="7">
        <v>52.12</v>
      </c>
      <c r="AF73" s="7">
        <v>48.68</v>
      </c>
      <c r="AG73" s="7">
        <v>0</v>
      </c>
      <c r="AH73" s="33">
        <v>0</v>
      </c>
      <c r="AI73" s="42">
        <v>0</v>
      </c>
      <c r="AJ73" s="42">
        <v>0</v>
      </c>
      <c r="AK73" s="7">
        <v>0</v>
      </c>
      <c r="AL73" s="7"/>
    </row>
    <row r="74" spans="1:38" ht="15">
      <c r="A74" s="16">
        <v>44621</v>
      </c>
      <c r="B74" s="7">
        <v>134.32</v>
      </c>
      <c r="C74" s="7">
        <v>137.4</v>
      </c>
      <c r="D74" s="7">
        <v>177.68</v>
      </c>
      <c r="E74" s="7">
        <v>90.28</v>
      </c>
      <c r="F74" s="7">
        <v>132.47999999999999</v>
      </c>
      <c r="G74" s="7">
        <v>76.52</v>
      </c>
      <c r="H74" s="33">
        <v>0</v>
      </c>
      <c r="I74" s="7">
        <v>74.599999999999994</v>
      </c>
      <c r="J74" s="7">
        <v>117.12</v>
      </c>
      <c r="K74" s="7">
        <v>75.680000000000007</v>
      </c>
      <c r="L74" s="7">
        <v>138.19999999999999</v>
      </c>
      <c r="M74" s="7">
        <v>46.8</v>
      </c>
      <c r="N74" s="7">
        <v>186.28</v>
      </c>
      <c r="O74" s="7">
        <v>266.60000000000002</v>
      </c>
      <c r="P74" s="7">
        <v>74.599999999999994</v>
      </c>
      <c r="Q74" s="7">
        <v>73.8</v>
      </c>
      <c r="R74" s="7">
        <v>129.28</v>
      </c>
      <c r="S74" s="7">
        <v>71.2</v>
      </c>
      <c r="T74" s="42">
        <v>0</v>
      </c>
      <c r="U74" s="7">
        <v>61.48</v>
      </c>
      <c r="V74" s="7">
        <v>275.12</v>
      </c>
      <c r="W74" s="7">
        <v>391.12</v>
      </c>
      <c r="X74" s="7">
        <v>396.32</v>
      </c>
      <c r="Y74" s="7">
        <v>383.24</v>
      </c>
      <c r="Z74" s="42">
        <v>0</v>
      </c>
      <c r="AA74" s="7">
        <v>0</v>
      </c>
      <c r="AB74" s="7">
        <v>0</v>
      </c>
      <c r="AC74" s="7">
        <v>0</v>
      </c>
      <c r="AD74" s="7">
        <v>0</v>
      </c>
      <c r="AE74" s="7">
        <v>52.12</v>
      </c>
      <c r="AF74" s="7">
        <v>48.68</v>
      </c>
      <c r="AG74" s="7">
        <v>0</v>
      </c>
      <c r="AH74" s="33">
        <v>0</v>
      </c>
      <c r="AI74" s="42">
        <v>0</v>
      </c>
      <c r="AJ74" s="42">
        <v>0</v>
      </c>
      <c r="AK74" s="7">
        <v>0</v>
      </c>
      <c r="AL74" s="7"/>
    </row>
    <row r="75" spans="1:38" ht="15">
      <c r="A75" s="16">
        <v>44652</v>
      </c>
      <c r="B75" s="7">
        <v>372.5</v>
      </c>
      <c r="C75" s="7">
        <v>171.67</v>
      </c>
      <c r="D75" s="7">
        <v>44.42</v>
      </c>
      <c r="E75" s="7">
        <v>147.53</v>
      </c>
      <c r="F75" s="7">
        <v>233.16</v>
      </c>
      <c r="G75" s="7">
        <v>141.09</v>
      </c>
      <c r="H75" s="33">
        <v>0</v>
      </c>
      <c r="I75" s="7">
        <v>94.25</v>
      </c>
      <c r="J75" s="7">
        <v>176.4</v>
      </c>
      <c r="K75" s="7">
        <v>99.36</v>
      </c>
      <c r="L75" s="7">
        <v>173.67</v>
      </c>
      <c r="M75" s="7">
        <v>11.7</v>
      </c>
      <c r="N75" s="7">
        <v>240.85</v>
      </c>
      <c r="O75" s="7">
        <v>343.25</v>
      </c>
      <c r="P75" s="7">
        <v>18.649999999999999</v>
      </c>
      <c r="Q75" s="7">
        <v>92.25</v>
      </c>
      <c r="R75" s="7">
        <v>162.24</v>
      </c>
      <c r="S75" s="7">
        <v>88.68</v>
      </c>
      <c r="T75" s="42">
        <v>0</v>
      </c>
      <c r="U75" s="7">
        <v>73.09</v>
      </c>
      <c r="V75" s="7">
        <v>352.98</v>
      </c>
      <c r="W75" s="7">
        <v>505.78</v>
      </c>
      <c r="X75" s="7">
        <v>606.88</v>
      </c>
      <c r="Y75" s="7">
        <v>493.53</v>
      </c>
      <c r="Z75" s="42">
        <v>0</v>
      </c>
      <c r="AA75" s="7">
        <v>0</v>
      </c>
      <c r="AB75" s="7">
        <v>0</v>
      </c>
      <c r="AC75" s="7">
        <v>0</v>
      </c>
      <c r="AD75" s="7">
        <v>74.48</v>
      </c>
      <c r="AE75" s="7">
        <v>67.83</v>
      </c>
      <c r="AF75" s="7">
        <v>108.49</v>
      </c>
      <c r="AG75" s="7">
        <v>52.92</v>
      </c>
      <c r="AH75" s="33">
        <v>0</v>
      </c>
      <c r="AI75" s="42">
        <v>0</v>
      </c>
      <c r="AJ75" s="42">
        <v>0</v>
      </c>
      <c r="AK75" s="7">
        <v>0</v>
      </c>
      <c r="AL75" s="7"/>
    </row>
    <row r="76" spans="1:38" ht="15">
      <c r="A76" s="16">
        <v>44682</v>
      </c>
      <c r="B76" s="7">
        <v>338.92</v>
      </c>
      <c r="C76" s="7">
        <v>137.32</v>
      </c>
      <c r="D76" s="7">
        <v>0</v>
      </c>
      <c r="E76" s="7">
        <v>124.96</v>
      </c>
      <c r="F76" s="7">
        <v>200.04</v>
      </c>
      <c r="G76" s="7">
        <v>121.96</v>
      </c>
      <c r="H76" s="33">
        <v>0</v>
      </c>
      <c r="I76" s="7">
        <v>75.599999999999994</v>
      </c>
      <c r="J76" s="7">
        <v>147.12</v>
      </c>
      <c r="K76" s="7">
        <v>80.44</v>
      </c>
      <c r="L76" s="7">
        <v>139.12</v>
      </c>
      <c r="M76" s="7">
        <v>0</v>
      </c>
      <c r="N76" s="7">
        <v>194.28</v>
      </c>
      <c r="O76" s="7">
        <v>276.60000000000002</v>
      </c>
      <c r="P76" s="7">
        <v>0</v>
      </c>
      <c r="Q76" s="7">
        <v>73.8</v>
      </c>
      <c r="R76" s="7">
        <v>129.91999999999999</v>
      </c>
      <c r="S76" s="7">
        <v>70.88</v>
      </c>
      <c r="T76" s="42">
        <v>0</v>
      </c>
      <c r="U76" s="7">
        <v>57.72</v>
      </c>
      <c r="V76" s="7">
        <v>284.2</v>
      </c>
      <c r="W76" s="7">
        <v>408</v>
      </c>
      <c r="X76" s="7">
        <v>507.8</v>
      </c>
      <c r="Y76" s="7">
        <v>397.72</v>
      </c>
      <c r="Z76" s="42">
        <v>0</v>
      </c>
      <c r="AA76" s="7">
        <v>0</v>
      </c>
      <c r="AB76" s="7">
        <v>0</v>
      </c>
      <c r="AC76" s="7">
        <v>0</v>
      </c>
      <c r="AD76" s="7">
        <v>74.48</v>
      </c>
      <c r="AE76" s="7">
        <v>54.8</v>
      </c>
      <c r="AF76" s="7">
        <v>96.32</v>
      </c>
      <c r="AG76" s="7">
        <v>52.92</v>
      </c>
      <c r="AH76" s="33">
        <v>0</v>
      </c>
      <c r="AI76" s="42">
        <v>0</v>
      </c>
      <c r="AJ76" s="42">
        <v>0</v>
      </c>
      <c r="AK76" s="7">
        <v>0</v>
      </c>
      <c r="AL76" s="7"/>
    </row>
    <row r="77" spans="1:38" ht="15">
      <c r="A77" s="16">
        <v>44713</v>
      </c>
      <c r="B77" s="10">
        <v>338.92</v>
      </c>
      <c r="C77" s="10">
        <v>137.32</v>
      </c>
      <c r="D77" s="10">
        <v>0</v>
      </c>
      <c r="E77" s="10">
        <v>124.96</v>
      </c>
      <c r="F77" s="10">
        <v>200.04</v>
      </c>
      <c r="G77" s="10">
        <v>121.96</v>
      </c>
      <c r="H77" s="33">
        <v>0</v>
      </c>
      <c r="I77" s="10">
        <v>75.599999999999994</v>
      </c>
      <c r="J77" s="10">
        <v>147.12</v>
      </c>
      <c r="K77" s="10">
        <v>80.44</v>
      </c>
      <c r="L77" s="10">
        <v>139.12</v>
      </c>
      <c r="M77" s="10">
        <v>0</v>
      </c>
      <c r="N77" s="10">
        <v>194.28</v>
      </c>
      <c r="O77" s="10">
        <v>276.60000000000002</v>
      </c>
      <c r="P77" s="10">
        <v>0</v>
      </c>
      <c r="Q77" s="10">
        <v>73.8</v>
      </c>
      <c r="R77" s="10">
        <v>129.91999999999999</v>
      </c>
      <c r="S77" s="10">
        <v>70.88</v>
      </c>
      <c r="T77" s="42">
        <v>0</v>
      </c>
      <c r="U77" s="10">
        <v>57.72</v>
      </c>
      <c r="V77" s="10">
        <v>284.2</v>
      </c>
      <c r="W77" s="10">
        <v>408</v>
      </c>
      <c r="X77" s="10">
        <v>507.8</v>
      </c>
      <c r="Y77" s="10">
        <v>397.72</v>
      </c>
      <c r="Z77" s="42">
        <v>0</v>
      </c>
      <c r="AA77" s="10">
        <v>0</v>
      </c>
      <c r="AB77" s="10">
        <v>0</v>
      </c>
      <c r="AC77" s="10">
        <v>0</v>
      </c>
      <c r="AD77" s="10">
        <v>74.48</v>
      </c>
      <c r="AE77" s="10">
        <v>54.8</v>
      </c>
      <c r="AF77" s="10">
        <v>96.32</v>
      </c>
      <c r="AG77" s="10">
        <v>52.92</v>
      </c>
      <c r="AH77" s="33">
        <v>0</v>
      </c>
      <c r="AI77" s="42">
        <v>0</v>
      </c>
      <c r="AJ77" s="42">
        <v>0</v>
      </c>
      <c r="AK77" s="7">
        <v>0</v>
      </c>
      <c r="AL77" s="7"/>
    </row>
    <row r="78" spans="1:38" ht="15">
      <c r="A78" s="16">
        <v>44743</v>
      </c>
      <c r="B78" s="10">
        <v>360.75</v>
      </c>
      <c r="C78" s="10">
        <v>158.75</v>
      </c>
      <c r="D78" s="10">
        <v>0</v>
      </c>
      <c r="E78" s="10">
        <v>112.17</v>
      </c>
      <c r="F78" s="10">
        <v>154.91999999999999</v>
      </c>
      <c r="G78" s="10">
        <v>84.58</v>
      </c>
      <c r="H78" s="33">
        <v>0</v>
      </c>
      <c r="I78" s="10">
        <v>82.17</v>
      </c>
      <c r="J78" s="10">
        <v>128.83000000000001</v>
      </c>
      <c r="K78" s="10">
        <v>85.92</v>
      </c>
      <c r="L78" s="10">
        <v>164.33</v>
      </c>
      <c r="M78" s="10">
        <v>0</v>
      </c>
      <c r="N78" s="10">
        <v>218.08</v>
      </c>
      <c r="O78" s="10">
        <v>307.5</v>
      </c>
      <c r="P78" s="10">
        <v>0</v>
      </c>
      <c r="Q78" s="10">
        <v>84.75</v>
      </c>
      <c r="R78" s="10">
        <v>159.33000000000001</v>
      </c>
      <c r="S78" s="10">
        <v>84</v>
      </c>
      <c r="T78" s="42">
        <v>0</v>
      </c>
      <c r="U78" s="10">
        <v>67.08</v>
      </c>
      <c r="V78" s="10">
        <v>319.08</v>
      </c>
      <c r="W78" s="10">
        <v>455.67</v>
      </c>
      <c r="X78" s="10">
        <v>464.83</v>
      </c>
      <c r="Y78" s="10">
        <v>451.75</v>
      </c>
      <c r="Z78" s="42">
        <v>0</v>
      </c>
      <c r="AA78" s="10">
        <v>0</v>
      </c>
      <c r="AB78" s="10">
        <v>0</v>
      </c>
      <c r="AC78" s="10">
        <v>0</v>
      </c>
      <c r="AD78" s="10">
        <v>93.33</v>
      </c>
      <c r="AE78" s="10">
        <v>46</v>
      </c>
      <c r="AF78" s="10">
        <v>120.83</v>
      </c>
      <c r="AG78" s="33">
        <v>0</v>
      </c>
      <c r="AH78" s="33">
        <v>0</v>
      </c>
      <c r="AI78" s="42">
        <v>0</v>
      </c>
      <c r="AJ78" s="42">
        <v>0</v>
      </c>
      <c r="AK78" s="7">
        <v>0</v>
      </c>
    </row>
    <row r="79" spans="1:38" ht="15">
      <c r="A79" s="16">
        <v>44774</v>
      </c>
      <c r="B79" s="10">
        <v>288.60000000000002</v>
      </c>
      <c r="C79" s="10">
        <v>127</v>
      </c>
      <c r="D79" s="10">
        <v>0</v>
      </c>
      <c r="E79" s="10">
        <v>89.73</v>
      </c>
      <c r="F79" s="10">
        <v>123.93</v>
      </c>
      <c r="G79" s="10">
        <v>67.67</v>
      </c>
      <c r="H79" s="33">
        <v>0</v>
      </c>
      <c r="I79" s="10">
        <v>65.73</v>
      </c>
      <c r="J79" s="10">
        <v>103.07</v>
      </c>
      <c r="K79" s="10">
        <v>68.73</v>
      </c>
      <c r="L79" s="10">
        <v>131.47</v>
      </c>
      <c r="M79" s="10">
        <v>0</v>
      </c>
      <c r="N79" s="10">
        <v>174.47</v>
      </c>
      <c r="O79" s="10">
        <v>246</v>
      </c>
      <c r="P79" s="10">
        <v>0</v>
      </c>
      <c r="Q79" s="10">
        <v>67.8</v>
      </c>
      <c r="R79" s="10">
        <v>127.47</v>
      </c>
      <c r="S79" s="10">
        <v>67.2</v>
      </c>
      <c r="T79" s="42">
        <v>0</v>
      </c>
      <c r="U79" s="10">
        <v>53.67</v>
      </c>
      <c r="V79" s="10">
        <v>255.27</v>
      </c>
      <c r="W79" s="10">
        <v>364.53</v>
      </c>
      <c r="X79" s="10">
        <v>371.87</v>
      </c>
      <c r="Y79" s="10">
        <v>361.4</v>
      </c>
      <c r="Z79" s="42">
        <v>0</v>
      </c>
      <c r="AA79" s="10">
        <v>0</v>
      </c>
      <c r="AB79" s="10">
        <v>0</v>
      </c>
      <c r="AC79" s="10">
        <v>0</v>
      </c>
      <c r="AD79" s="10">
        <v>74.67</v>
      </c>
      <c r="AE79" s="10">
        <v>36.799999999999997</v>
      </c>
      <c r="AF79" s="10">
        <v>96.67</v>
      </c>
      <c r="AG79" s="33">
        <v>0</v>
      </c>
      <c r="AH79" s="33">
        <v>0</v>
      </c>
      <c r="AI79" s="42">
        <v>0</v>
      </c>
      <c r="AJ79" s="42">
        <v>0</v>
      </c>
      <c r="AK79" s="7">
        <v>0</v>
      </c>
    </row>
    <row r="80" spans="1:38" ht="15">
      <c r="A80" s="16">
        <v>44805</v>
      </c>
      <c r="B80" s="10">
        <v>288.60000000000002</v>
      </c>
      <c r="C80" s="10">
        <v>127</v>
      </c>
      <c r="D80" s="10">
        <v>0</v>
      </c>
      <c r="E80" s="10">
        <v>89.73</v>
      </c>
      <c r="F80" s="10">
        <v>123.93</v>
      </c>
      <c r="G80" s="10">
        <v>67.67</v>
      </c>
      <c r="H80" s="33">
        <v>0</v>
      </c>
      <c r="I80" s="10">
        <v>65.73</v>
      </c>
      <c r="J80" s="10">
        <v>103.07</v>
      </c>
      <c r="K80" s="10">
        <v>68.73</v>
      </c>
      <c r="L80" s="10">
        <v>131.47</v>
      </c>
      <c r="M80" s="10">
        <v>0</v>
      </c>
      <c r="N80" s="10">
        <v>174.47</v>
      </c>
      <c r="O80" s="10">
        <v>246</v>
      </c>
      <c r="P80" s="10">
        <v>0</v>
      </c>
      <c r="Q80" s="10">
        <v>67.8</v>
      </c>
      <c r="R80" s="10">
        <v>127.47</v>
      </c>
      <c r="S80" s="10">
        <v>67.2</v>
      </c>
      <c r="T80" s="42">
        <v>0</v>
      </c>
      <c r="U80" s="10">
        <v>53.67</v>
      </c>
      <c r="V80" s="10">
        <v>255.27</v>
      </c>
      <c r="W80" s="10">
        <v>364.53</v>
      </c>
      <c r="X80" s="10">
        <v>371.87</v>
      </c>
      <c r="Y80" s="10">
        <v>361.4</v>
      </c>
      <c r="Z80" s="42">
        <v>0</v>
      </c>
      <c r="AA80" s="10">
        <v>0</v>
      </c>
      <c r="AB80" s="10">
        <v>0</v>
      </c>
      <c r="AC80" s="10">
        <v>0</v>
      </c>
      <c r="AD80" s="10">
        <v>74.67</v>
      </c>
      <c r="AE80" s="10">
        <v>36.799999999999997</v>
      </c>
      <c r="AF80" s="10">
        <v>96.67</v>
      </c>
      <c r="AG80" s="33">
        <v>0</v>
      </c>
      <c r="AH80" s="33">
        <v>0</v>
      </c>
      <c r="AI80" s="42">
        <v>0</v>
      </c>
      <c r="AJ80" s="42">
        <v>0</v>
      </c>
      <c r="AK80" s="7">
        <v>0</v>
      </c>
    </row>
    <row r="81" spans="1:37" ht="15">
      <c r="A81" s="16">
        <v>44835</v>
      </c>
      <c r="B81" s="10">
        <v>384.15</v>
      </c>
      <c r="C81" s="10">
        <v>168.82</v>
      </c>
      <c r="D81" s="10">
        <v>0</v>
      </c>
      <c r="E81" s="10">
        <v>112.7</v>
      </c>
      <c r="F81" s="10">
        <v>163.78</v>
      </c>
      <c r="G81" s="10">
        <v>95.78</v>
      </c>
      <c r="H81" s="33">
        <v>0</v>
      </c>
      <c r="I81" s="10">
        <v>90.7</v>
      </c>
      <c r="J81" s="10">
        <v>136.37</v>
      </c>
      <c r="K81" s="10">
        <v>93.18</v>
      </c>
      <c r="L81" s="10">
        <v>170.13</v>
      </c>
      <c r="M81" s="10">
        <v>0</v>
      </c>
      <c r="N81" s="10">
        <v>229.88</v>
      </c>
      <c r="O81" s="10">
        <v>328.1</v>
      </c>
      <c r="P81" s="10">
        <v>0</v>
      </c>
      <c r="Q81" s="10">
        <v>87.02</v>
      </c>
      <c r="R81" s="10">
        <v>167.67</v>
      </c>
      <c r="S81" s="10">
        <v>88</v>
      </c>
      <c r="T81" s="42">
        <v>0</v>
      </c>
      <c r="U81" s="10">
        <v>74.88</v>
      </c>
      <c r="V81" s="10">
        <v>338.95</v>
      </c>
      <c r="W81" s="10">
        <v>482.27</v>
      </c>
      <c r="X81" s="10">
        <v>489.3</v>
      </c>
      <c r="Y81" s="10">
        <v>473.62</v>
      </c>
      <c r="Z81" s="42">
        <v>0</v>
      </c>
      <c r="AA81" s="10">
        <v>0</v>
      </c>
      <c r="AB81" s="10">
        <v>0</v>
      </c>
      <c r="AC81" s="10">
        <v>0</v>
      </c>
      <c r="AD81" s="10">
        <v>93.27</v>
      </c>
      <c r="AE81" s="10">
        <v>61.33</v>
      </c>
      <c r="AF81" s="10">
        <v>119.63</v>
      </c>
      <c r="AG81" s="33">
        <v>0</v>
      </c>
      <c r="AH81" s="33">
        <v>0</v>
      </c>
      <c r="AI81" s="42">
        <v>0</v>
      </c>
      <c r="AJ81" s="42">
        <v>0</v>
      </c>
      <c r="AK81" s="7">
        <v>0</v>
      </c>
    </row>
    <row r="82" spans="1:37" ht="15">
      <c r="A82" s="16">
        <v>44866</v>
      </c>
      <c r="B82" s="10">
        <v>312</v>
      </c>
      <c r="C82" s="10">
        <v>137.07</v>
      </c>
      <c r="D82" s="10">
        <v>0</v>
      </c>
      <c r="E82" s="10">
        <v>90.27</v>
      </c>
      <c r="F82" s="10">
        <v>132.80000000000001</v>
      </c>
      <c r="G82" s="10">
        <v>78.87</v>
      </c>
      <c r="H82" s="33">
        <v>0</v>
      </c>
      <c r="I82" s="10">
        <v>74.27</v>
      </c>
      <c r="J82" s="10">
        <v>110.6</v>
      </c>
      <c r="K82" s="10">
        <v>76</v>
      </c>
      <c r="L82" s="10">
        <v>137.27000000000001</v>
      </c>
      <c r="M82" s="10">
        <v>0</v>
      </c>
      <c r="N82" s="10">
        <v>186.27</v>
      </c>
      <c r="O82" s="10">
        <v>266.60000000000002</v>
      </c>
      <c r="P82" s="10">
        <v>0</v>
      </c>
      <c r="Q82" s="10">
        <v>70.069999999999993</v>
      </c>
      <c r="R82" s="10">
        <v>135.80000000000001</v>
      </c>
      <c r="S82" s="10">
        <v>71.2</v>
      </c>
      <c r="T82" s="42">
        <v>0</v>
      </c>
      <c r="U82" s="10">
        <v>61.47</v>
      </c>
      <c r="V82" s="10">
        <v>275.13</v>
      </c>
      <c r="W82" s="10">
        <v>391.13</v>
      </c>
      <c r="X82" s="10">
        <v>396.33</v>
      </c>
      <c r="Y82" s="10">
        <v>383.27</v>
      </c>
      <c r="Z82" s="42">
        <v>0</v>
      </c>
      <c r="AA82" s="10">
        <v>0</v>
      </c>
      <c r="AB82" s="10">
        <v>0</v>
      </c>
      <c r="AC82" s="10">
        <v>0</v>
      </c>
      <c r="AD82" s="10">
        <v>74.599999999999994</v>
      </c>
      <c r="AE82" s="10">
        <v>52.13</v>
      </c>
      <c r="AF82" s="10">
        <v>95.47</v>
      </c>
      <c r="AG82" s="33">
        <v>0</v>
      </c>
      <c r="AH82" s="33">
        <v>0</v>
      </c>
      <c r="AI82" s="42">
        <v>0</v>
      </c>
      <c r="AJ82" s="42">
        <v>0</v>
      </c>
      <c r="AK82" s="7">
        <v>0</v>
      </c>
    </row>
    <row r="83" spans="1:37" ht="15">
      <c r="A83" s="16">
        <v>44896</v>
      </c>
      <c r="B83" s="10">
        <v>312</v>
      </c>
      <c r="C83" s="10">
        <v>137.07</v>
      </c>
      <c r="D83" s="10">
        <v>0</v>
      </c>
      <c r="E83" s="10">
        <v>90.27</v>
      </c>
      <c r="F83" s="10">
        <v>132.80000000000001</v>
      </c>
      <c r="G83" s="10">
        <v>78.87</v>
      </c>
      <c r="H83" s="33">
        <v>0</v>
      </c>
      <c r="I83" s="10">
        <v>74.27</v>
      </c>
      <c r="J83" s="10">
        <v>110.6</v>
      </c>
      <c r="K83" s="10">
        <v>76</v>
      </c>
      <c r="L83" s="10">
        <v>137.27000000000001</v>
      </c>
      <c r="M83" s="10">
        <v>0</v>
      </c>
      <c r="N83" s="10">
        <v>186.27</v>
      </c>
      <c r="O83" s="10">
        <v>266.60000000000002</v>
      </c>
      <c r="P83" s="10">
        <v>0</v>
      </c>
      <c r="Q83" s="10">
        <v>70.069999999999993</v>
      </c>
      <c r="R83" s="10">
        <v>135.80000000000001</v>
      </c>
      <c r="S83" s="10">
        <v>71.2</v>
      </c>
      <c r="T83" s="42">
        <v>0</v>
      </c>
      <c r="U83" s="10">
        <v>61.47</v>
      </c>
      <c r="V83" s="10">
        <v>275.13</v>
      </c>
      <c r="W83" s="10">
        <v>391.13</v>
      </c>
      <c r="X83" s="10">
        <v>396.33</v>
      </c>
      <c r="Y83" s="10">
        <v>383.27</v>
      </c>
      <c r="Z83" s="42">
        <v>0</v>
      </c>
      <c r="AA83" s="10">
        <v>0</v>
      </c>
      <c r="AB83" s="10">
        <v>0</v>
      </c>
      <c r="AC83" s="10">
        <v>0</v>
      </c>
      <c r="AD83" s="10">
        <v>74.599999999999994</v>
      </c>
      <c r="AE83" s="10">
        <v>52.13</v>
      </c>
      <c r="AF83" s="10">
        <v>95.47</v>
      </c>
      <c r="AG83" s="33">
        <v>0</v>
      </c>
      <c r="AH83" s="33">
        <v>0</v>
      </c>
      <c r="AI83" s="42">
        <v>0</v>
      </c>
      <c r="AJ83" s="42">
        <v>0</v>
      </c>
      <c r="AK83" s="7">
        <v>0</v>
      </c>
    </row>
    <row r="84" spans="1:37" ht="15">
      <c r="A84" s="16">
        <v>44927</v>
      </c>
      <c r="B84" s="10">
        <v>423.67</v>
      </c>
      <c r="C84" s="10">
        <v>171.25</v>
      </c>
      <c r="D84" s="10">
        <v>0</v>
      </c>
      <c r="E84" s="10">
        <v>156.08000000000001</v>
      </c>
      <c r="F84" s="10">
        <v>250.08</v>
      </c>
      <c r="G84" s="10">
        <v>152.25</v>
      </c>
      <c r="H84" s="33">
        <v>0</v>
      </c>
      <c r="I84" s="10">
        <v>94.58</v>
      </c>
      <c r="J84" s="10">
        <v>179.83</v>
      </c>
      <c r="K84" s="10">
        <v>99.92</v>
      </c>
      <c r="L84" s="10">
        <v>173.92</v>
      </c>
      <c r="M84" s="10">
        <v>0</v>
      </c>
      <c r="N84" s="10">
        <v>242.83</v>
      </c>
      <c r="O84" s="10">
        <v>345.75</v>
      </c>
      <c r="P84" s="10">
        <v>0</v>
      </c>
      <c r="Q84" s="10">
        <v>89.25</v>
      </c>
      <c r="R84" s="10">
        <v>166.5</v>
      </c>
      <c r="S84" s="10">
        <v>90.25</v>
      </c>
      <c r="T84" s="42">
        <v>0</v>
      </c>
      <c r="U84" s="10">
        <v>73.25</v>
      </c>
      <c r="V84" s="10">
        <v>355.25</v>
      </c>
      <c r="W84" s="10">
        <v>509.92</v>
      </c>
      <c r="X84" s="10">
        <v>654.08000000000004</v>
      </c>
      <c r="Y84" s="10">
        <v>496.42</v>
      </c>
      <c r="Z84" s="42">
        <v>0</v>
      </c>
      <c r="AA84" s="10">
        <v>0</v>
      </c>
      <c r="AB84" s="10">
        <v>0</v>
      </c>
      <c r="AC84" s="10">
        <v>0</v>
      </c>
      <c r="AD84" s="10">
        <v>92.92</v>
      </c>
      <c r="AE84" s="10">
        <v>76.5</v>
      </c>
      <c r="AF84" s="10">
        <v>119.25</v>
      </c>
      <c r="AG84" s="10">
        <v>58.08</v>
      </c>
      <c r="AH84" s="33">
        <v>0</v>
      </c>
      <c r="AI84" s="42">
        <v>0</v>
      </c>
      <c r="AJ84" s="42">
        <v>0</v>
      </c>
      <c r="AK84" s="7">
        <v>0</v>
      </c>
    </row>
    <row r="85" spans="1:37" ht="15">
      <c r="A85" s="16">
        <v>44958</v>
      </c>
      <c r="B85" s="10">
        <v>338.93</v>
      </c>
      <c r="C85" s="10">
        <v>137</v>
      </c>
      <c r="D85" s="10">
        <v>0</v>
      </c>
      <c r="E85" s="10">
        <v>124.87</v>
      </c>
      <c r="F85" s="10">
        <v>200.07</v>
      </c>
      <c r="G85" s="10">
        <v>121.8</v>
      </c>
      <c r="H85" s="33">
        <v>0</v>
      </c>
      <c r="I85" s="10">
        <v>75.67</v>
      </c>
      <c r="J85" s="10">
        <v>143.87</v>
      </c>
      <c r="K85" s="10">
        <v>79.930000000000007</v>
      </c>
      <c r="L85" s="10">
        <v>139.13</v>
      </c>
      <c r="M85" s="10">
        <v>0</v>
      </c>
      <c r="N85" s="10">
        <v>194.27</v>
      </c>
      <c r="O85" s="10">
        <v>276.60000000000002</v>
      </c>
      <c r="P85" s="10">
        <v>0</v>
      </c>
      <c r="Q85" s="10">
        <v>71.400000000000006</v>
      </c>
      <c r="R85" s="10">
        <v>133.19999999999999</v>
      </c>
      <c r="S85" s="10">
        <v>72.2</v>
      </c>
      <c r="T85" s="42">
        <v>0</v>
      </c>
      <c r="U85" s="10">
        <v>58.6</v>
      </c>
      <c r="V85" s="10">
        <v>284.2</v>
      </c>
      <c r="W85" s="10">
        <v>407.93</v>
      </c>
      <c r="X85" s="10">
        <v>523.27</v>
      </c>
      <c r="Y85" s="10">
        <v>397.13</v>
      </c>
      <c r="Z85" s="42">
        <v>0</v>
      </c>
      <c r="AA85" s="10">
        <v>0</v>
      </c>
      <c r="AB85" s="10">
        <v>0</v>
      </c>
      <c r="AC85" s="10">
        <v>0</v>
      </c>
      <c r="AD85" s="10">
        <v>74.33</v>
      </c>
      <c r="AE85" s="10">
        <v>61.2</v>
      </c>
      <c r="AF85" s="10">
        <v>95.4</v>
      </c>
      <c r="AG85" s="10">
        <v>46.47</v>
      </c>
      <c r="AH85" s="33">
        <v>0</v>
      </c>
      <c r="AI85" s="42">
        <v>0</v>
      </c>
      <c r="AJ85" s="42">
        <v>0</v>
      </c>
      <c r="AK85" s="7">
        <v>0</v>
      </c>
    </row>
    <row r="86" spans="1:37" ht="15">
      <c r="A86" s="16">
        <v>44986</v>
      </c>
      <c r="B86" s="10">
        <v>338.93</v>
      </c>
      <c r="C86" s="10">
        <v>137</v>
      </c>
      <c r="D86" s="10">
        <v>0</v>
      </c>
      <c r="E86" s="10">
        <v>124.87</v>
      </c>
      <c r="F86" s="10">
        <v>200.07</v>
      </c>
      <c r="G86" s="10">
        <v>121.8</v>
      </c>
      <c r="H86" s="33">
        <v>0</v>
      </c>
      <c r="I86" s="10">
        <v>75.67</v>
      </c>
      <c r="J86" s="10">
        <v>143.87</v>
      </c>
      <c r="K86" s="10">
        <v>79.930000000000007</v>
      </c>
      <c r="L86" s="10">
        <v>139.13</v>
      </c>
      <c r="M86" s="10">
        <v>0</v>
      </c>
      <c r="N86" s="10">
        <v>194.27</v>
      </c>
      <c r="O86" s="10">
        <v>276.60000000000002</v>
      </c>
      <c r="P86" s="10">
        <v>0</v>
      </c>
      <c r="Q86" s="10">
        <v>71.400000000000006</v>
      </c>
      <c r="R86" s="10">
        <v>133.19999999999999</v>
      </c>
      <c r="S86" s="10">
        <v>72.2</v>
      </c>
      <c r="T86" s="42">
        <v>0</v>
      </c>
      <c r="U86" s="10">
        <v>58.6</v>
      </c>
      <c r="V86" s="10">
        <v>284.2</v>
      </c>
      <c r="W86" s="10">
        <v>407.93</v>
      </c>
      <c r="X86" s="10">
        <v>523.27</v>
      </c>
      <c r="Y86" s="10">
        <v>397.13</v>
      </c>
      <c r="Z86" s="42">
        <v>0</v>
      </c>
      <c r="AA86" s="10">
        <v>0</v>
      </c>
      <c r="AB86" s="10">
        <v>0</v>
      </c>
      <c r="AC86" s="10">
        <v>0</v>
      </c>
      <c r="AD86" s="10">
        <v>74.33</v>
      </c>
      <c r="AE86" s="10">
        <v>61.2</v>
      </c>
      <c r="AF86" s="10">
        <v>95.4</v>
      </c>
      <c r="AG86" s="10">
        <v>46.47</v>
      </c>
      <c r="AH86" s="33">
        <v>0</v>
      </c>
      <c r="AI86" s="42">
        <v>0</v>
      </c>
      <c r="AJ86" s="42">
        <v>0</v>
      </c>
      <c r="AK86" s="7">
        <v>0</v>
      </c>
    </row>
    <row r="87" spans="1:37" ht="15">
      <c r="A87" s="16">
        <v>45017</v>
      </c>
      <c r="B87" s="10">
        <v>425.13</v>
      </c>
      <c r="C87" s="10">
        <v>173.45</v>
      </c>
      <c r="D87" s="10">
        <v>0</v>
      </c>
      <c r="E87" s="10">
        <v>156.15</v>
      </c>
      <c r="F87" s="10">
        <v>250.08</v>
      </c>
      <c r="G87" s="10">
        <v>152.25</v>
      </c>
      <c r="H87" s="33">
        <v>0</v>
      </c>
      <c r="I87" s="10">
        <v>94.58</v>
      </c>
      <c r="J87" s="10">
        <v>179.77</v>
      </c>
      <c r="K87" s="10">
        <v>145.25</v>
      </c>
      <c r="L87" s="10">
        <v>173.92</v>
      </c>
      <c r="M87" s="10">
        <v>0</v>
      </c>
      <c r="N87" s="10">
        <v>242.83</v>
      </c>
      <c r="O87" s="10">
        <v>345.75</v>
      </c>
      <c r="P87" s="10">
        <v>0</v>
      </c>
      <c r="Q87" s="10">
        <v>89.25</v>
      </c>
      <c r="R87" s="10">
        <v>166.5</v>
      </c>
      <c r="S87" s="10">
        <v>88.92</v>
      </c>
      <c r="T87" s="42">
        <v>0</v>
      </c>
      <c r="U87" s="10">
        <v>76.45</v>
      </c>
      <c r="V87" s="10">
        <v>354.45</v>
      </c>
      <c r="W87" s="10">
        <v>508.45</v>
      </c>
      <c r="X87" s="10">
        <v>660.75</v>
      </c>
      <c r="Y87" s="10">
        <v>494.82</v>
      </c>
      <c r="Z87" s="42">
        <v>0</v>
      </c>
      <c r="AA87" s="10">
        <v>0</v>
      </c>
      <c r="AB87" s="10">
        <v>0</v>
      </c>
      <c r="AC87" s="10">
        <v>0</v>
      </c>
      <c r="AD87" s="10">
        <v>92.92</v>
      </c>
      <c r="AE87" s="10">
        <v>71.900000000000006</v>
      </c>
      <c r="AF87" s="10">
        <v>157.58000000000001</v>
      </c>
      <c r="AG87" s="10">
        <v>62.48</v>
      </c>
      <c r="AH87" s="33">
        <v>0</v>
      </c>
      <c r="AI87" s="42">
        <v>0</v>
      </c>
      <c r="AJ87" s="42">
        <v>0</v>
      </c>
      <c r="AK87" s="7">
        <v>0</v>
      </c>
    </row>
    <row r="88" spans="1:37" ht="15">
      <c r="A88" s="16">
        <v>45047</v>
      </c>
      <c r="B88" s="10">
        <v>340.4</v>
      </c>
      <c r="C88" s="10">
        <v>139.19999999999999</v>
      </c>
      <c r="D88" s="10">
        <v>0</v>
      </c>
      <c r="E88" s="10">
        <v>124.93</v>
      </c>
      <c r="F88" s="10">
        <v>200.07</v>
      </c>
      <c r="G88" s="10">
        <v>121.8</v>
      </c>
      <c r="H88" s="33">
        <v>0</v>
      </c>
      <c r="I88" s="10">
        <v>75.67</v>
      </c>
      <c r="J88" s="10">
        <v>143.80000000000001</v>
      </c>
      <c r="K88" s="10">
        <v>125.27</v>
      </c>
      <c r="L88" s="10">
        <v>139.13</v>
      </c>
      <c r="M88" s="10">
        <v>0</v>
      </c>
      <c r="N88" s="10">
        <v>194.27</v>
      </c>
      <c r="O88" s="10">
        <v>276.60000000000002</v>
      </c>
      <c r="P88" s="10">
        <v>0</v>
      </c>
      <c r="Q88" s="10">
        <v>71.400000000000006</v>
      </c>
      <c r="R88" s="10">
        <v>133.19999999999999</v>
      </c>
      <c r="S88" s="10">
        <v>70.87</v>
      </c>
      <c r="T88" s="42">
        <v>0</v>
      </c>
      <c r="U88" s="10">
        <v>61.8</v>
      </c>
      <c r="V88" s="10">
        <v>283.39999999999998</v>
      </c>
      <c r="W88" s="10">
        <v>406.47</v>
      </c>
      <c r="X88" s="10">
        <v>529.92999999999995</v>
      </c>
      <c r="Y88" s="10">
        <v>395.53</v>
      </c>
      <c r="Z88" s="42">
        <v>0</v>
      </c>
      <c r="AA88" s="10">
        <v>0</v>
      </c>
      <c r="AB88" s="10">
        <v>0</v>
      </c>
      <c r="AC88" s="10">
        <v>0</v>
      </c>
      <c r="AD88" s="10">
        <v>74.33</v>
      </c>
      <c r="AE88" s="10">
        <v>56.6</v>
      </c>
      <c r="AF88" s="10">
        <v>133.72999999999999</v>
      </c>
      <c r="AG88" s="10">
        <v>50.87</v>
      </c>
      <c r="AH88" s="33">
        <v>0</v>
      </c>
      <c r="AI88" s="42">
        <v>0</v>
      </c>
      <c r="AJ88" s="42">
        <v>0</v>
      </c>
      <c r="AK88" s="7">
        <v>0</v>
      </c>
    </row>
    <row r="89" spans="1:37" ht="15">
      <c r="A89" s="16">
        <v>45078</v>
      </c>
      <c r="B89" s="10">
        <v>340.4</v>
      </c>
      <c r="C89" s="10">
        <v>139.19999999999999</v>
      </c>
      <c r="D89" s="10">
        <v>0</v>
      </c>
      <c r="E89" s="10">
        <v>124.93</v>
      </c>
      <c r="F89" s="10">
        <v>200.07</v>
      </c>
      <c r="G89" s="10">
        <v>121.8</v>
      </c>
      <c r="H89" s="33">
        <v>0</v>
      </c>
      <c r="I89" s="10">
        <v>75.67</v>
      </c>
      <c r="J89" s="10">
        <v>143.80000000000001</v>
      </c>
      <c r="K89" s="10">
        <v>125.27</v>
      </c>
      <c r="L89" s="10">
        <v>139.13</v>
      </c>
      <c r="M89" s="10">
        <v>0</v>
      </c>
      <c r="N89" s="10">
        <v>194.27</v>
      </c>
      <c r="O89" s="10">
        <v>276.60000000000002</v>
      </c>
      <c r="P89" s="10">
        <v>0</v>
      </c>
      <c r="Q89" s="10">
        <v>71.400000000000006</v>
      </c>
      <c r="R89" s="10">
        <v>133.19999999999999</v>
      </c>
      <c r="S89" s="10">
        <v>70.87</v>
      </c>
      <c r="T89" s="42">
        <v>0</v>
      </c>
      <c r="U89" s="10">
        <v>61.8</v>
      </c>
      <c r="V89" s="10">
        <v>283.39999999999998</v>
      </c>
      <c r="W89" s="10">
        <v>406.47</v>
      </c>
      <c r="X89" s="10">
        <v>529.92999999999995</v>
      </c>
      <c r="Y89" s="10">
        <v>395.53</v>
      </c>
      <c r="Z89" s="42">
        <v>0</v>
      </c>
      <c r="AA89" s="10">
        <v>0</v>
      </c>
      <c r="AB89" s="10">
        <v>0</v>
      </c>
      <c r="AC89" s="10">
        <v>0</v>
      </c>
      <c r="AD89" s="10">
        <v>74.33</v>
      </c>
      <c r="AE89" s="10">
        <v>56.6</v>
      </c>
      <c r="AF89" s="10">
        <v>133.72999999999999</v>
      </c>
      <c r="AG89" s="10">
        <v>50.87</v>
      </c>
      <c r="AH89" s="33">
        <v>0</v>
      </c>
      <c r="AI89" s="42">
        <v>0</v>
      </c>
      <c r="AJ89" s="42">
        <v>0</v>
      </c>
      <c r="AK89" s="7">
        <v>0</v>
      </c>
    </row>
    <row r="90" spans="1:37" ht="15">
      <c r="A90" s="16">
        <v>45108</v>
      </c>
      <c r="B90" s="10">
        <v>423.67</v>
      </c>
      <c r="C90" s="10">
        <v>171.25</v>
      </c>
      <c r="D90" s="10">
        <v>0</v>
      </c>
      <c r="E90" s="10">
        <v>156.16999999999999</v>
      </c>
      <c r="F90" s="10">
        <v>250.5</v>
      </c>
      <c r="G90" s="10">
        <v>152.41999999999999</v>
      </c>
      <c r="H90" s="33">
        <v>0</v>
      </c>
      <c r="I90" s="10">
        <v>97.33</v>
      </c>
      <c r="J90" s="10">
        <v>179.83</v>
      </c>
      <c r="K90" s="10">
        <v>99.92</v>
      </c>
      <c r="L90" s="10">
        <v>173.92</v>
      </c>
      <c r="M90" s="10">
        <v>0</v>
      </c>
      <c r="N90" s="10">
        <v>242.83</v>
      </c>
      <c r="O90" s="10">
        <v>345.75</v>
      </c>
      <c r="P90" s="10">
        <v>0</v>
      </c>
      <c r="Q90" s="10">
        <v>87.33</v>
      </c>
      <c r="R90" s="10">
        <v>166.5</v>
      </c>
      <c r="S90" s="10">
        <v>90.25</v>
      </c>
      <c r="T90" s="42">
        <v>0</v>
      </c>
      <c r="U90" s="10">
        <v>73.25</v>
      </c>
      <c r="V90" s="10">
        <v>355.25</v>
      </c>
      <c r="W90" s="10">
        <v>510</v>
      </c>
      <c r="X90" s="10">
        <v>634.75</v>
      </c>
      <c r="Y90" s="10">
        <v>497.17</v>
      </c>
      <c r="Z90" s="42">
        <v>0</v>
      </c>
      <c r="AA90" s="10">
        <v>0</v>
      </c>
      <c r="AB90" s="10">
        <v>0</v>
      </c>
      <c r="AC90" s="10">
        <v>0</v>
      </c>
      <c r="AD90" s="10">
        <v>93.08</v>
      </c>
      <c r="AE90" s="10">
        <v>74</v>
      </c>
      <c r="AF90" s="10">
        <v>120.42</v>
      </c>
      <c r="AG90" s="10">
        <v>60.67</v>
      </c>
      <c r="AH90" s="33">
        <v>0</v>
      </c>
      <c r="AI90" s="42">
        <v>0</v>
      </c>
      <c r="AJ90" s="42">
        <v>0</v>
      </c>
      <c r="AK90" s="7">
        <v>0</v>
      </c>
    </row>
    <row r="91" spans="1:37" ht="15">
      <c r="A91" s="16">
        <v>45139</v>
      </c>
      <c r="B91" s="10">
        <v>338.93</v>
      </c>
      <c r="C91" s="10">
        <v>137</v>
      </c>
      <c r="D91" s="10">
        <v>0</v>
      </c>
      <c r="E91" s="10">
        <v>124.93</v>
      </c>
      <c r="F91" s="10">
        <v>200.4</v>
      </c>
      <c r="G91" s="10">
        <v>121.93</v>
      </c>
      <c r="H91" s="33">
        <v>0</v>
      </c>
      <c r="I91" s="10">
        <v>77.87</v>
      </c>
      <c r="J91" s="10">
        <v>143.87</v>
      </c>
      <c r="K91" s="10">
        <v>79.930000000000007</v>
      </c>
      <c r="L91" s="10">
        <v>139.13</v>
      </c>
      <c r="M91" s="10">
        <v>0</v>
      </c>
      <c r="N91" s="10">
        <v>194.27</v>
      </c>
      <c r="O91" s="10">
        <v>276.60000000000002</v>
      </c>
      <c r="P91" s="10">
        <v>0</v>
      </c>
      <c r="Q91" s="10">
        <v>69.87</v>
      </c>
      <c r="R91" s="10">
        <v>133.19999999999999</v>
      </c>
      <c r="S91" s="10">
        <v>72.2</v>
      </c>
      <c r="T91" s="42">
        <v>0</v>
      </c>
      <c r="U91" s="10">
        <v>58.6</v>
      </c>
      <c r="V91" s="10">
        <v>284.2</v>
      </c>
      <c r="W91" s="10">
        <v>408</v>
      </c>
      <c r="X91" s="10">
        <v>507.8</v>
      </c>
      <c r="Y91" s="10">
        <v>397.73</v>
      </c>
      <c r="Z91" s="42">
        <v>0</v>
      </c>
      <c r="AA91" s="10">
        <v>0</v>
      </c>
      <c r="AB91" s="10">
        <v>0</v>
      </c>
      <c r="AC91" s="10">
        <v>0</v>
      </c>
      <c r="AD91" s="10">
        <v>74.47</v>
      </c>
      <c r="AE91" s="10">
        <v>59.2</v>
      </c>
      <c r="AF91" s="10">
        <v>96.33</v>
      </c>
      <c r="AG91" s="10">
        <v>48.53</v>
      </c>
      <c r="AH91" s="33">
        <v>0</v>
      </c>
      <c r="AI91" s="42">
        <v>0</v>
      </c>
      <c r="AJ91" s="42">
        <v>0</v>
      </c>
      <c r="AK91" s="7">
        <v>0</v>
      </c>
    </row>
    <row r="92" spans="1:37" ht="15">
      <c r="A92" s="16">
        <v>45170</v>
      </c>
      <c r="B92" s="10">
        <v>338.93</v>
      </c>
      <c r="C92" s="10">
        <v>137</v>
      </c>
      <c r="D92" s="10">
        <v>0</v>
      </c>
      <c r="E92" s="10">
        <v>124.93</v>
      </c>
      <c r="F92" s="10">
        <v>200.4</v>
      </c>
      <c r="G92" s="10">
        <v>121.93</v>
      </c>
      <c r="H92" s="33">
        <v>0</v>
      </c>
      <c r="I92" s="10">
        <v>77.87</v>
      </c>
      <c r="J92" s="10">
        <v>143.87</v>
      </c>
      <c r="K92" s="10">
        <v>79.930000000000007</v>
      </c>
      <c r="L92" s="10">
        <v>139.13</v>
      </c>
      <c r="M92" s="10">
        <v>0</v>
      </c>
      <c r="N92" s="10">
        <v>194.27</v>
      </c>
      <c r="O92" s="10">
        <v>276.60000000000002</v>
      </c>
      <c r="P92" s="10">
        <v>0</v>
      </c>
      <c r="Q92" s="10">
        <v>69.87</v>
      </c>
      <c r="R92" s="10">
        <v>133.19999999999999</v>
      </c>
      <c r="S92" s="10">
        <v>72.2</v>
      </c>
      <c r="T92" s="42">
        <v>0</v>
      </c>
      <c r="U92" s="10">
        <v>58.6</v>
      </c>
      <c r="V92" s="10">
        <v>284.2</v>
      </c>
      <c r="W92" s="10">
        <v>408</v>
      </c>
      <c r="X92" s="10">
        <v>507.8</v>
      </c>
      <c r="Y92" s="10">
        <v>397.73</v>
      </c>
      <c r="Z92" s="42">
        <v>0</v>
      </c>
      <c r="AA92" s="10">
        <v>0</v>
      </c>
      <c r="AB92" s="10">
        <v>0</v>
      </c>
      <c r="AC92" s="10">
        <v>0</v>
      </c>
      <c r="AD92" s="10">
        <v>74.47</v>
      </c>
      <c r="AE92" s="10">
        <v>59.2</v>
      </c>
      <c r="AF92" s="10">
        <v>96.33</v>
      </c>
      <c r="AG92" s="10">
        <v>48.53</v>
      </c>
      <c r="AH92" s="33">
        <v>0</v>
      </c>
      <c r="AI92" s="42">
        <v>0</v>
      </c>
      <c r="AJ92" s="42">
        <v>0</v>
      </c>
      <c r="AK92" s="7">
        <v>0</v>
      </c>
    </row>
    <row r="93" spans="1:37" ht="15">
      <c r="A93" s="16">
        <v>45200</v>
      </c>
      <c r="B93" s="10">
        <v>423.67</v>
      </c>
      <c r="C93" s="10">
        <v>171.25</v>
      </c>
      <c r="D93" s="10">
        <v>0</v>
      </c>
      <c r="E93" s="10">
        <v>156.1</v>
      </c>
      <c r="F93" s="10">
        <v>250.17</v>
      </c>
      <c r="G93" s="10">
        <v>152.28</v>
      </c>
      <c r="H93" s="33">
        <v>0</v>
      </c>
      <c r="I93" s="10">
        <v>95.13</v>
      </c>
      <c r="J93" s="10">
        <v>179.83</v>
      </c>
      <c r="K93" s="10">
        <v>99.92</v>
      </c>
      <c r="L93" s="10">
        <v>173.92</v>
      </c>
      <c r="M93" s="10">
        <v>0</v>
      </c>
      <c r="N93" s="10">
        <v>242.83</v>
      </c>
      <c r="O93" s="10">
        <v>345.75</v>
      </c>
      <c r="P93" s="10">
        <v>0</v>
      </c>
      <c r="Q93" s="10">
        <v>88.87</v>
      </c>
      <c r="R93" s="10">
        <v>166.5</v>
      </c>
      <c r="S93" s="10">
        <v>90.25</v>
      </c>
      <c r="T93" s="42">
        <v>0</v>
      </c>
      <c r="U93" s="10">
        <v>73.25</v>
      </c>
      <c r="V93" s="10">
        <v>355.25</v>
      </c>
      <c r="W93" s="10">
        <v>510.07</v>
      </c>
      <c r="X93" s="10">
        <v>650.22</v>
      </c>
      <c r="Y93" s="10">
        <v>496.57</v>
      </c>
      <c r="Z93" s="42">
        <v>0</v>
      </c>
      <c r="AA93" s="42">
        <v>0</v>
      </c>
      <c r="AB93" s="10">
        <v>0</v>
      </c>
      <c r="AC93" s="10">
        <v>0</v>
      </c>
      <c r="AD93" s="10">
        <v>92.95</v>
      </c>
      <c r="AE93" s="10">
        <v>76</v>
      </c>
      <c r="AF93" s="10">
        <v>119.48</v>
      </c>
      <c r="AG93" s="10">
        <v>58.6</v>
      </c>
      <c r="AH93" s="33">
        <v>0</v>
      </c>
      <c r="AI93" s="42">
        <v>0</v>
      </c>
      <c r="AJ93" s="42">
        <v>0</v>
      </c>
      <c r="AK93" s="7">
        <v>0</v>
      </c>
    </row>
    <row r="94" spans="1:37" ht="15">
      <c r="A94" s="16">
        <v>45231</v>
      </c>
      <c r="B94" s="10">
        <v>338.93</v>
      </c>
      <c r="C94" s="10">
        <v>137</v>
      </c>
      <c r="D94" s="10">
        <v>0</v>
      </c>
      <c r="E94" s="10">
        <v>124.87</v>
      </c>
      <c r="F94" s="10">
        <v>200.07</v>
      </c>
      <c r="G94" s="10">
        <v>121.8</v>
      </c>
      <c r="H94" s="33">
        <v>0</v>
      </c>
      <c r="I94" s="10">
        <v>75.67</v>
      </c>
      <c r="J94" s="10">
        <v>143.87</v>
      </c>
      <c r="K94" s="10">
        <v>79.930000000000007</v>
      </c>
      <c r="L94" s="10">
        <v>139.13</v>
      </c>
      <c r="M94" s="10">
        <v>0</v>
      </c>
      <c r="N94" s="10">
        <v>194.27</v>
      </c>
      <c r="O94" s="10">
        <v>276.60000000000002</v>
      </c>
      <c r="P94" s="10">
        <v>0</v>
      </c>
      <c r="Q94" s="10">
        <v>71.400000000000006</v>
      </c>
      <c r="R94" s="10">
        <v>133.19999999999999</v>
      </c>
      <c r="S94" s="10">
        <v>72.2</v>
      </c>
      <c r="T94" s="42">
        <v>0</v>
      </c>
      <c r="U94" s="10">
        <v>58.6</v>
      </c>
      <c r="V94" s="10">
        <v>284.2</v>
      </c>
      <c r="W94" s="10">
        <v>408.07</v>
      </c>
      <c r="X94" s="10">
        <v>523.27</v>
      </c>
      <c r="Y94" s="10">
        <v>397.13</v>
      </c>
      <c r="Z94" s="42">
        <v>0</v>
      </c>
      <c r="AA94" s="42">
        <v>0</v>
      </c>
      <c r="AB94" s="10">
        <v>0</v>
      </c>
      <c r="AC94" s="10">
        <v>0</v>
      </c>
      <c r="AD94" s="10">
        <v>74.33</v>
      </c>
      <c r="AE94" s="10">
        <v>61.2</v>
      </c>
      <c r="AF94" s="10">
        <v>95.4</v>
      </c>
      <c r="AG94" s="10">
        <v>46.47</v>
      </c>
      <c r="AH94" s="33">
        <v>0</v>
      </c>
      <c r="AI94" s="42">
        <v>0</v>
      </c>
      <c r="AJ94" s="42">
        <v>0</v>
      </c>
      <c r="AK94" s="7">
        <v>0</v>
      </c>
    </row>
    <row r="95" spans="1:37" ht="15">
      <c r="A95" s="16">
        <v>45261</v>
      </c>
      <c r="B95" s="10">
        <v>423.67</v>
      </c>
      <c r="C95" s="10">
        <v>171.25</v>
      </c>
      <c r="D95" s="10">
        <v>0</v>
      </c>
      <c r="E95" s="10">
        <v>156.08000000000001</v>
      </c>
      <c r="F95" s="10">
        <v>250.08</v>
      </c>
      <c r="G95" s="10">
        <v>152.25</v>
      </c>
      <c r="H95" s="33">
        <v>0</v>
      </c>
      <c r="I95" s="10">
        <v>94.58</v>
      </c>
      <c r="J95" s="10">
        <v>179.83</v>
      </c>
      <c r="K95" s="10">
        <v>99.92</v>
      </c>
      <c r="L95" s="10">
        <v>173.92</v>
      </c>
      <c r="M95" s="10">
        <v>0</v>
      </c>
      <c r="N95" s="10">
        <v>242.83</v>
      </c>
      <c r="O95" s="10">
        <v>345.75</v>
      </c>
      <c r="P95" s="10">
        <v>0</v>
      </c>
      <c r="Q95" s="10">
        <v>89.25</v>
      </c>
      <c r="R95" s="10">
        <v>166.5</v>
      </c>
      <c r="S95" s="10">
        <v>90.25</v>
      </c>
      <c r="T95" s="42">
        <v>0</v>
      </c>
      <c r="U95" s="10">
        <v>73.25</v>
      </c>
      <c r="V95" s="10">
        <v>355.25</v>
      </c>
      <c r="W95" s="10">
        <v>509.92</v>
      </c>
      <c r="X95" s="10">
        <v>654.08000000000004</v>
      </c>
      <c r="Y95" s="10">
        <v>496.42</v>
      </c>
      <c r="Z95" s="42">
        <v>0</v>
      </c>
      <c r="AA95" s="42">
        <v>0</v>
      </c>
      <c r="AB95" s="10">
        <v>0</v>
      </c>
      <c r="AC95" s="10">
        <v>0</v>
      </c>
      <c r="AD95" s="10">
        <v>92.92</v>
      </c>
      <c r="AE95" s="10">
        <v>76.5</v>
      </c>
      <c r="AF95" s="10">
        <v>119.25</v>
      </c>
      <c r="AG95" s="10">
        <v>58.08</v>
      </c>
      <c r="AH95" s="33">
        <v>0</v>
      </c>
      <c r="AI95" s="42">
        <v>0</v>
      </c>
      <c r="AJ95" s="42">
        <v>0</v>
      </c>
      <c r="AK95" s="7">
        <v>0</v>
      </c>
    </row>
    <row r="96" spans="1:37" ht="15">
      <c r="A96" s="16">
        <v>45292</v>
      </c>
      <c r="B96" s="10">
        <v>611.67999999999995</v>
      </c>
      <c r="C96" s="10">
        <v>259.93</v>
      </c>
      <c r="D96" s="10">
        <v>0</v>
      </c>
      <c r="E96" s="10">
        <v>246.52</v>
      </c>
      <c r="F96" s="10">
        <v>374.62</v>
      </c>
      <c r="G96" s="10">
        <v>296.45</v>
      </c>
      <c r="H96" s="33">
        <v>0</v>
      </c>
      <c r="I96" s="10">
        <v>132.41999999999999</v>
      </c>
      <c r="J96" s="10">
        <v>251.65</v>
      </c>
      <c r="K96" s="10">
        <v>218.05</v>
      </c>
      <c r="L96" s="10">
        <v>243.48</v>
      </c>
      <c r="M96" s="10">
        <v>0</v>
      </c>
      <c r="N96" s="10">
        <v>353.27</v>
      </c>
      <c r="O96" s="10">
        <v>505.05</v>
      </c>
      <c r="P96" s="10">
        <v>0</v>
      </c>
      <c r="Q96" s="10">
        <v>124.95</v>
      </c>
      <c r="R96" s="10">
        <v>233.1</v>
      </c>
      <c r="S96" s="10">
        <v>124.02</v>
      </c>
      <c r="T96" s="42">
        <v>0</v>
      </c>
      <c r="U96" s="10">
        <v>128.80000000000001</v>
      </c>
      <c r="V96" s="10">
        <v>516.48</v>
      </c>
      <c r="W96" s="10">
        <v>781.32</v>
      </c>
      <c r="X96" s="8">
        <v>1002.4</v>
      </c>
      <c r="Y96" s="10">
        <v>705.13</v>
      </c>
      <c r="Z96" s="42">
        <v>0</v>
      </c>
      <c r="AA96" s="42">
        <v>0</v>
      </c>
      <c r="AB96" s="10">
        <v>0</v>
      </c>
      <c r="AC96" s="10">
        <v>0</v>
      </c>
      <c r="AD96" s="10">
        <v>174.42</v>
      </c>
      <c r="AE96" s="10">
        <v>99.05</v>
      </c>
      <c r="AF96" s="10">
        <v>339.73</v>
      </c>
      <c r="AG96" s="10">
        <v>89.02</v>
      </c>
      <c r="AH96" s="33">
        <v>0</v>
      </c>
      <c r="AI96" s="42">
        <v>0</v>
      </c>
      <c r="AJ96" s="42">
        <v>0</v>
      </c>
      <c r="AK96" s="7">
        <v>0</v>
      </c>
    </row>
    <row r="97" spans="1:37" ht="15">
      <c r="A97" s="16">
        <v>45323</v>
      </c>
      <c r="B97" s="10">
        <v>349.53</v>
      </c>
      <c r="C97" s="10">
        <v>148.53</v>
      </c>
      <c r="D97" s="10">
        <v>0</v>
      </c>
      <c r="E97" s="10">
        <v>140.87</v>
      </c>
      <c r="F97" s="10">
        <v>214.07</v>
      </c>
      <c r="G97" s="10">
        <v>169.4</v>
      </c>
      <c r="H97" s="33">
        <v>0</v>
      </c>
      <c r="I97" s="10">
        <v>75.67</v>
      </c>
      <c r="J97" s="10">
        <v>143.80000000000001</v>
      </c>
      <c r="K97" s="10">
        <v>124.6</v>
      </c>
      <c r="L97" s="10">
        <v>139.13</v>
      </c>
      <c r="M97" s="10">
        <v>0</v>
      </c>
      <c r="N97" s="10">
        <v>201.87</v>
      </c>
      <c r="O97" s="10">
        <v>288.60000000000002</v>
      </c>
      <c r="P97" s="10">
        <v>0</v>
      </c>
      <c r="Q97" s="10">
        <v>71.400000000000006</v>
      </c>
      <c r="R97" s="10">
        <v>133.19999999999999</v>
      </c>
      <c r="S97" s="10">
        <v>70.87</v>
      </c>
      <c r="T97" s="42">
        <v>0</v>
      </c>
      <c r="U97" s="10">
        <v>73.599999999999994</v>
      </c>
      <c r="V97" s="10">
        <v>295.13</v>
      </c>
      <c r="W97" s="10">
        <v>446.47</v>
      </c>
      <c r="X97" s="10">
        <v>572.79999999999995</v>
      </c>
      <c r="Y97" s="10">
        <v>402.93</v>
      </c>
      <c r="Z97" s="42">
        <v>0</v>
      </c>
      <c r="AA97" s="42">
        <v>0</v>
      </c>
      <c r="AB97" s="10">
        <v>0</v>
      </c>
      <c r="AC97" s="10">
        <v>0</v>
      </c>
      <c r="AD97" s="10">
        <v>99.67</v>
      </c>
      <c r="AE97" s="10">
        <v>56.6</v>
      </c>
      <c r="AF97" s="10">
        <v>194.13</v>
      </c>
      <c r="AG97" s="10">
        <v>50.87</v>
      </c>
      <c r="AH97" s="33">
        <v>0</v>
      </c>
      <c r="AI97" s="42">
        <v>0</v>
      </c>
      <c r="AJ97" s="42">
        <v>0</v>
      </c>
      <c r="AK97" s="7">
        <v>0</v>
      </c>
    </row>
    <row r="98" spans="1:37" ht="15">
      <c r="A98" s="16">
        <v>45352</v>
      </c>
      <c r="B98" s="10">
        <v>436.92</v>
      </c>
      <c r="C98" s="10">
        <v>185.67</v>
      </c>
      <c r="D98" s="10">
        <v>0</v>
      </c>
      <c r="E98" s="10">
        <v>176.08</v>
      </c>
      <c r="F98" s="10">
        <v>267.58</v>
      </c>
      <c r="G98" s="10">
        <v>211.75</v>
      </c>
      <c r="H98" s="33">
        <v>0</v>
      </c>
      <c r="I98" s="10">
        <v>94.58</v>
      </c>
      <c r="J98" s="10">
        <v>179.75</v>
      </c>
      <c r="K98" s="10">
        <v>155.75</v>
      </c>
      <c r="L98" s="10">
        <v>173.92</v>
      </c>
      <c r="M98" s="10">
        <v>0</v>
      </c>
      <c r="N98" s="10">
        <v>252.33</v>
      </c>
      <c r="O98" s="10">
        <v>360.75</v>
      </c>
      <c r="P98" s="10">
        <v>0</v>
      </c>
      <c r="Q98" s="10">
        <v>89.25</v>
      </c>
      <c r="R98" s="10">
        <v>166.5</v>
      </c>
      <c r="S98" s="10">
        <v>88.58</v>
      </c>
      <c r="T98" s="42">
        <v>0</v>
      </c>
      <c r="U98" s="10">
        <v>92</v>
      </c>
      <c r="V98" s="10">
        <v>368.92</v>
      </c>
      <c r="W98" s="10">
        <v>558.08000000000004</v>
      </c>
      <c r="X98" s="10">
        <v>716</v>
      </c>
      <c r="Y98" s="10">
        <v>503.67</v>
      </c>
      <c r="Z98" s="42">
        <v>0</v>
      </c>
      <c r="AA98" s="42">
        <v>0</v>
      </c>
      <c r="AB98" s="10">
        <v>0</v>
      </c>
      <c r="AC98" s="10">
        <v>0</v>
      </c>
      <c r="AD98" s="10">
        <v>124.58</v>
      </c>
      <c r="AE98" s="10">
        <v>70.75</v>
      </c>
      <c r="AF98" s="10">
        <v>242.67</v>
      </c>
      <c r="AG98" s="10">
        <v>63.58</v>
      </c>
      <c r="AH98" s="33">
        <v>0</v>
      </c>
      <c r="AI98" s="42">
        <v>0</v>
      </c>
      <c r="AJ98" s="42">
        <v>0</v>
      </c>
      <c r="AK98" s="7">
        <v>0</v>
      </c>
    </row>
    <row r="99" spans="1:37" ht="15">
      <c r="A99" s="16">
        <v>45383</v>
      </c>
      <c r="B99" s="10">
        <v>349.53</v>
      </c>
      <c r="C99" s="10">
        <v>148.53</v>
      </c>
      <c r="D99" s="10">
        <v>0</v>
      </c>
      <c r="E99" s="10">
        <v>140.87</v>
      </c>
      <c r="F99" s="10">
        <v>214.2</v>
      </c>
      <c r="G99" s="10">
        <v>169.4</v>
      </c>
      <c r="H99" s="33">
        <v>0</v>
      </c>
      <c r="I99" s="10">
        <v>184.8</v>
      </c>
      <c r="J99" s="10">
        <v>143.80000000000001</v>
      </c>
      <c r="K99" s="10">
        <v>124.53</v>
      </c>
      <c r="L99" s="10">
        <v>139.13</v>
      </c>
      <c r="M99" s="10">
        <v>0</v>
      </c>
      <c r="N99" s="10">
        <v>155.87</v>
      </c>
      <c r="O99" s="10">
        <v>288.60000000000002</v>
      </c>
      <c r="P99" s="10">
        <v>0</v>
      </c>
      <c r="Q99" s="10">
        <v>72.8</v>
      </c>
      <c r="R99" s="10">
        <v>133.19999999999999</v>
      </c>
      <c r="S99" s="10">
        <v>70.87</v>
      </c>
      <c r="T99" s="42">
        <v>0</v>
      </c>
      <c r="U99" s="10">
        <v>71.13</v>
      </c>
      <c r="V99" s="10">
        <v>295.13</v>
      </c>
      <c r="W99" s="10">
        <v>446.47</v>
      </c>
      <c r="X99" s="10">
        <v>572.20000000000005</v>
      </c>
      <c r="Y99" s="10">
        <v>402.93</v>
      </c>
      <c r="Z99" s="42">
        <v>0</v>
      </c>
      <c r="AA99" s="42">
        <v>0</v>
      </c>
      <c r="AB99" s="10">
        <v>101.6</v>
      </c>
      <c r="AC99" s="10">
        <v>0</v>
      </c>
      <c r="AD99" s="10">
        <v>204.67</v>
      </c>
      <c r="AE99" s="10">
        <v>56.6</v>
      </c>
      <c r="AF99" s="10">
        <v>266.52999999999997</v>
      </c>
      <c r="AG99" s="10">
        <v>50.87</v>
      </c>
      <c r="AH99" s="10">
        <v>10.6</v>
      </c>
      <c r="AI99" s="42">
        <v>0</v>
      </c>
      <c r="AJ99" s="42">
        <v>0</v>
      </c>
      <c r="AK99" s="7">
        <v>0</v>
      </c>
    </row>
    <row r="100" spans="1:37" ht="15">
      <c r="A100" s="16">
        <v>45413</v>
      </c>
      <c r="B100" s="10">
        <v>349.53</v>
      </c>
      <c r="C100" s="10">
        <v>148.53</v>
      </c>
      <c r="D100" s="10">
        <v>0</v>
      </c>
      <c r="E100" s="10">
        <v>140.87</v>
      </c>
      <c r="F100" s="10">
        <v>214.2</v>
      </c>
      <c r="G100" s="10">
        <v>169.4</v>
      </c>
      <c r="H100" s="33">
        <v>0</v>
      </c>
      <c r="I100" s="10">
        <v>184.8</v>
      </c>
      <c r="J100" s="10">
        <v>143.80000000000001</v>
      </c>
      <c r="K100" s="10">
        <v>124.53</v>
      </c>
      <c r="L100" s="10">
        <v>139.13</v>
      </c>
      <c r="M100" s="10">
        <v>0</v>
      </c>
      <c r="N100" s="10">
        <v>155.87</v>
      </c>
      <c r="O100" s="10">
        <v>288.60000000000002</v>
      </c>
      <c r="P100" s="10">
        <v>0</v>
      </c>
      <c r="Q100" s="10">
        <v>72.8</v>
      </c>
      <c r="R100" s="10">
        <v>133.19999999999999</v>
      </c>
      <c r="S100" s="10">
        <v>70.87</v>
      </c>
      <c r="T100" s="42">
        <v>0</v>
      </c>
      <c r="U100" s="10">
        <v>71.13</v>
      </c>
      <c r="V100" s="10">
        <v>295.13</v>
      </c>
      <c r="W100" s="10">
        <v>446.47</v>
      </c>
      <c r="X100" s="10">
        <v>572.20000000000005</v>
      </c>
      <c r="Y100" s="10">
        <v>402.93</v>
      </c>
      <c r="Z100" s="42">
        <v>0</v>
      </c>
      <c r="AA100" s="42">
        <v>0</v>
      </c>
      <c r="AB100" s="10">
        <v>101.6</v>
      </c>
      <c r="AC100" s="10">
        <v>0</v>
      </c>
      <c r="AD100" s="10">
        <v>204.67</v>
      </c>
      <c r="AE100" s="10">
        <v>56.6</v>
      </c>
      <c r="AF100" s="10">
        <v>266.52999999999997</v>
      </c>
      <c r="AG100" s="10">
        <v>50.87</v>
      </c>
      <c r="AH100" s="10">
        <v>10.6</v>
      </c>
      <c r="AI100" s="42">
        <v>0</v>
      </c>
      <c r="AJ100" s="42">
        <v>0</v>
      </c>
      <c r="AK100" s="7">
        <v>0</v>
      </c>
    </row>
    <row r="101" spans="1:37" ht="15">
      <c r="A101" s="16">
        <v>45444</v>
      </c>
      <c r="B101" s="10">
        <v>436.92</v>
      </c>
      <c r="C101" s="10">
        <v>185.67</v>
      </c>
      <c r="D101" s="10">
        <v>0</v>
      </c>
      <c r="E101" s="10">
        <v>176.08</v>
      </c>
      <c r="F101" s="10">
        <v>267.75</v>
      </c>
      <c r="G101" s="10">
        <v>211.75</v>
      </c>
      <c r="H101" s="33">
        <v>0</v>
      </c>
      <c r="I101" s="10">
        <v>231</v>
      </c>
      <c r="J101" s="10">
        <v>179.75</v>
      </c>
      <c r="K101" s="10">
        <v>155.66999999999999</v>
      </c>
      <c r="L101" s="10">
        <v>173.92</v>
      </c>
      <c r="M101" s="10">
        <v>0</v>
      </c>
      <c r="N101" s="10">
        <v>194.83</v>
      </c>
      <c r="O101" s="10">
        <v>360.75</v>
      </c>
      <c r="P101" s="10">
        <v>0</v>
      </c>
      <c r="Q101" s="10">
        <v>91</v>
      </c>
      <c r="R101" s="10">
        <v>166.5</v>
      </c>
      <c r="S101" s="10">
        <v>88.58</v>
      </c>
      <c r="T101" s="42">
        <v>0</v>
      </c>
      <c r="U101" s="10">
        <v>88.92</v>
      </c>
      <c r="V101" s="10">
        <v>368.92</v>
      </c>
      <c r="W101" s="10">
        <v>558.08000000000004</v>
      </c>
      <c r="X101" s="10">
        <v>715.25</v>
      </c>
      <c r="Y101" s="10">
        <v>503.67</v>
      </c>
      <c r="Z101" s="42">
        <v>0</v>
      </c>
      <c r="AA101" s="42">
        <v>0</v>
      </c>
      <c r="AB101" s="10">
        <v>127</v>
      </c>
      <c r="AC101" s="10">
        <v>0</v>
      </c>
      <c r="AD101" s="10">
        <v>255.83</v>
      </c>
      <c r="AE101" s="10">
        <v>70.75</v>
      </c>
      <c r="AF101" s="10">
        <v>333.17</v>
      </c>
      <c r="AG101" s="10">
        <v>63.58</v>
      </c>
      <c r="AH101" s="10">
        <v>10.6</v>
      </c>
      <c r="AI101" s="42">
        <v>0</v>
      </c>
      <c r="AJ101" s="42">
        <v>0</v>
      </c>
      <c r="AK101" s="7">
        <v>0</v>
      </c>
    </row>
    <row r="102" spans="1:37" ht="15">
      <c r="A102" s="16">
        <v>45474</v>
      </c>
      <c r="B102" s="10">
        <v>425.5</v>
      </c>
      <c r="C102" s="10">
        <v>174</v>
      </c>
      <c r="D102" s="10">
        <v>0</v>
      </c>
      <c r="E102" s="10">
        <v>156.16999999999999</v>
      </c>
      <c r="F102" s="10">
        <v>250.08</v>
      </c>
      <c r="G102" s="10">
        <v>152.25</v>
      </c>
      <c r="H102" s="33">
        <v>0</v>
      </c>
      <c r="I102" s="10">
        <v>94.58</v>
      </c>
      <c r="J102" s="10">
        <v>179.75</v>
      </c>
      <c r="K102" s="10">
        <v>156.58000000000001</v>
      </c>
      <c r="L102" s="10">
        <v>173.92</v>
      </c>
      <c r="M102" s="10">
        <v>0</v>
      </c>
      <c r="N102" s="10">
        <v>242.83</v>
      </c>
      <c r="O102" s="10">
        <v>345.75</v>
      </c>
      <c r="P102" s="10">
        <v>0</v>
      </c>
      <c r="Q102" s="10">
        <v>89.25</v>
      </c>
      <c r="R102" s="10">
        <v>166.5</v>
      </c>
      <c r="S102" s="10">
        <v>88.58</v>
      </c>
      <c r="T102" s="42">
        <v>0</v>
      </c>
      <c r="U102" s="10">
        <v>77.25</v>
      </c>
      <c r="V102" s="10">
        <v>354.25</v>
      </c>
      <c r="W102" s="10">
        <v>508.08</v>
      </c>
      <c r="X102" s="10">
        <v>662.42</v>
      </c>
      <c r="Y102" s="10">
        <v>494.42</v>
      </c>
      <c r="Z102" s="42">
        <v>0</v>
      </c>
      <c r="AA102" s="42">
        <v>0</v>
      </c>
      <c r="AB102" s="10">
        <v>0</v>
      </c>
      <c r="AC102" s="10">
        <v>0</v>
      </c>
      <c r="AD102" s="10">
        <v>92.92</v>
      </c>
      <c r="AE102" s="10">
        <v>70.75</v>
      </c>
      <c r="AF102" s="10">
        <v>167.17</v>
      </c>
      <c r="AG102" s="10">
        <v>63.58</v>
      </c>
      <c r="AH102" s="33">
        <v>0</v>
      </c>
      <c r="AI102" s="42">
        <v>0</v>
      </c>
      <c r="AJ102" s="42">
        <v>0</v>
      </c>
      <c r="AK102" s="7">
        <v>0</v>
      </c>
    </row>
    <row r="103" spans="1:37" ht="15">
      <c r="A103" s="16">
        <v>45505</v>
      </c>
      <c r="B103" s="10">
        <v>340.4</v>
      </c>
      <c r="C103" s="10">
        <v>139.19999999999999</v>
      </c>
      <c r="D103" s="10">
        <v>0</v>
      </c>
      <c r="E103" s="10">
        <v>124.93</v>
      </c>
      <c r="F103" s="10">
        <v>200.07</v>
      </c>
      <c r="G103" s="10">
        <v>121.8</v>
      </c>
      <c r="H103" s="33">
        <v>0</v>
      </c>
      <c r="I103" s="10">
        <v>75.67</v>
      </c>
      <c r="J103" s="10">
        <v>143.80000000000001</v>
      </c>
      <c r="K103" s="10">
        <v>125.27</v>
      </c>
      <c r="L103" s="10">
        <v>139.13</v>
      </c>
      <c r="M103" s="10">
        <v>0</v>
      </c>
      <c r="N103" s="10">
        <v>194.27</v>
      </c>
      <c r="O103" s="10">
        <v>276.60000000000002</v>
      </c>
      <c r="P103" s="10">
        <v>0</v>
      </c>
      <c r="Q103" s="10">
        <v>71.400000000000006</v>
      </c>
      <c r="R103" s="10">
        <v>133.19999999999999</v>
      </c>
      <c r="S103" s="10">
        <v>70.87</v>
      </c>
      <c r="T103" s="42">
        <v>0</v>
      </c>
      <c r="U103" s="10">
        <v>61.8</v>
      </c>
      <c r="V103" s="10">
        <v>283.39999999999998</v>
      </c>
      <c r="W103" s="10">
        <v>406.47</v>
      </c>
      <c r="X103" s="10">
        <v>529.92999999999995</v>
      </c>
      <c r="Y103" s="10">
        <v>395.53</v>
      </c>
      <c r="Z103" s="42">
        <v>0</v>
      </c>
      <c r="AA103" s="42">
        <v>0</v>
      </c>
      <c r="AB103" s="10">
        <v>0</v>
      </c>
      <c r="AC103" s="10">
        <v>0</v>
      </c>
      <c r="AD103" s="10">
        <v>74.33</v>
      </c>
      <c r="AE103" s="10">
        <v>56.6</v>
      </c>
      <c r="AF103" s="10">
        <v>133.72999999999999</v>
      </c>
      <c r="AG103" s="10">
        <v>50.87</v>
      </c>
      <c r="AH103" s="33">
        <v>0</v>
      </c>
      <c r="AI103" s="42">
        <v>0</v>
      </c>
      <c r="AJ103" s="42">
        <v>0</v>
      </c>
      <c r="AK103" s="7">
        <v>0</v>
      </c>
    </row>
    <row r="104" spans="1:37" ht="15">
      <c r="A104" s="16">
        <v>45536</v>
      </c>
      <c r="B104" s="10">
        <v>425.5</v>
      </c>
      <c r="C104" s="10">
        <v>174</v>
      </c>
      <c r="D104" s="10">
        <v>0</v>
      </c>
      <c r="E104" s="10">
        <v>156.16999999999999</v>
      </c>
      <c r="F104" s="10">
        <v>250.08</v>
      </c>
      <c r="G104" s="10">
        <v>152.25</v>
      </c>
      <c r="H104" s="33">
        <v>0</v>
      </c>
      <c r="I104" s="10">
        <v>94.58</v>
      </c>
      <c r="J104" s="10">
        <v>179.75</v>
      </c>
      <c r="K104" s="10">
        <v>156.58000000000001</v>
      </c>
      <c r="L104" s="10">
        <v>173.92</v>
      </c>
      <c r="M104" s="10">
        <v>0</v>
      </c>
      <c r="N104" s="10">
        <v>242.83</v>
      </c>
      <c r="O104" s="10">
        <v>345.75</v>
      </c>
      <c r="P104" s="10">
        <v>0</v>
      </c>
      <c r="Q104" s="10">
        <v>89.25</v>
      </c>
      <c r="R104" s="10">
        <v>166.5</v>
      </c>
      <c r="S104" s="10">
        <v>88.58</v>
      </c>
      <c r="T104" s="42">
        <v>0</v>
      </c>
      <c r="U104" s="10">
        <v>77.25</v>
      </c>
      <c r="V104" s="10">
        <v>354.25</v>
      </c>
      <c r="W104" s="10">
        <v>508.08</v>
      </c>
      <c r="X104" s="10">
        <v>662.42</v>
      </c>
      <c r="Y104" s="10">
        <v>494.42</v>
      </c>
      <c r="Z104" s="42">
        <v>0</v>
      </c>
      <c r="AA104" s="42">
        <v>0</v>
      </c>
      <c r="AB104" s="10">
        <v>0</v>
      </c>
      <c r="AC104" s="10">
        <v>0</v>
      </c>
      <c r="AD104" s="10">
        <v>92.92</v>
      </c>
      <c r="AE104" s="10">
        <v>70.75</v>
      </c>
      <c r="AF104" s="10">
        <v>167.17</v>
      </c>
      <c r="AG104" s="10">
        <v>63.58</v>
      </c>
      <c r="AH104" s="33">
        <v>0</v>
      </c>
      <c r="AI104" s="42">
        <v>0</v>
      </c>
      <c r="AJ104" s="42">
        <v>0</v>
      </c>
      <c r="AK104" s="7">
        <v>0</v>
      </c>
    </row>
    <row r="105" spans="1:37" ht="15">
      <c r="A105" s="16">
        <v>45566</v>
      </c>
      <c r="B105" s="10">
        <v>349.53</v>
      </c>
      <c r="C105" s="10">
        <v>148.53</v>
      </c>
      <c r="D105" s="10">
        <v>0</v>
      </c>
      <c r="E105" s="10">
        <v>140.87</v>
      </c>
      <c r="F105" s="10">
        <v>214.07</v>
      </c>
      <c r="G105" s="10">
        <v>169.4</v>
      </c>
      <c r="H105" s="33">
        <v>0</v>
      </c>
      <c r="I105" s="10">
        <v>75.67</v>
      </c>
      <c r="J105" s="10">
        <v>143.80000000000001</v>
      </c>
      <c r="K105" s="10">
        <v>124.6</v>
      </c>
      <c r="L105" s="10">
        <v>139.13</v>
      </c>
      <c r="M105" s="10">
        <v>0</v>
      </c>
      <c r="N105" s="10">
        <v>201.87</v>
      </c>
      <c r="O105" s="10">
        <v>288.60000000000002</v>
      </c>
      <c r="P105" s="10">
        <v>0</v>
      </c>
      <c r="Q105" s="10">
        <v>71.400000000000006</v>
      </c>
      <c r="R105" s="10">
        <v>133.19999999999999</v>
      </c>
      <c r="S105" s="10">
        <v>70.87</v>
      </c>
      <c r="T105" s="42">
        <v>0</v>
      </c>
      <c r="U105" s="10">
        <v>73.599999999999994</v>
      </c>
      <c r="V105" s="10">
        <v>295.13</v>
      </c>
      <c r="W105" s="10">
        <v>446.47</v>
      </c>
      <c r="X105" s="10">
        <v>572.79999999999995</v>
      </c>
      <c r="Y105" s="10">
        <v>402.93</v>
      </c>
      <c r="Z105" s="42">
        <v>0</v>
      </c>
      <c r="AA105" s="42">
        <v>0</v>
      </c>
      <c r="AB105" s="10">
        <v>0</v>
      </c>
      <c r="AC105" s="10">
        <v>0</v>
      </c>
      <c r="AD105" s="10">
        <v>99.67</v>
      </c>
      <c r="AE105" s="10">
        <v>56.6</v>
      </c>
      <c r="AF105" s="10">
        <v>194.13</v>
      </c>
      <c r="AG105" s="10">
        <v>50.87</v>
      </c>
      <c r="AH105" s="10">
        <v>10.5</v>
      </c>
      <c r="AI105" s="42">
        <v>0</v>
      </c>
      <c r="AJ105" s="42">
        <v>0</v>
      </c>
      <c r="AK105" s="7">
        <v>0</v>
      </c>
    </row>
    <row r="106" spans="1:37" ht="15">
      <c r="A106" s="16">
        <v>45597</v>
      </c>
      <c r="B106" s="10">
        <v>349.53</v>
      </c>
      <c r="C106" s="10">
        <v>148.53</v>
      </c>
      <c r="D106" s="10">
        <v>0</v>
      </c>
      <c r="E106" s="10">
        <v>140.87</v>
      </c>
      <c r="F106" s="10">
        <v>214.07</v>
      </c>
      <c r="G106" s="10">
        <v>169.4</v>
      </c>
      <c r="H106" s="33">
        <v>0</v>
      </c>
      <c r="I106" s="10">
        <v>75.67</v>
      </c>
      <c r="J106" s="10">
        <v>143.80000000000001</v>
      </c>
      <c r="K106" s="10">
        <v>124.6</v>
      </c>
      <c r="L106" s="10">
        <v>139.13</v>
      </c>
      <c r="M106" s="10">
        <v>0</v>
      </c>
      <c r="N106" s="10">
        <v>201.87</v>
      </c>
      <c r="O106" s="10">
        <v>288.60000000000002</v>
      </c>
      <c r="P106" s="10">
        <v>0</v>
      </c>
      <c r="Q106" s="10">
        <v>71.400000000000006</v>
      </c>
      <c r="R106" s="10">
        <v>133.19999999999999</v>
      </c>
      <c r="S106" s="10">
        <v>70.87</v>
      </c>
      <c r="T106" s="42">
        <v>0</v>
      </c>
      <c r="U106" s="10">
        <v>73.599999999999994</v>
      </c>
      <c r="V106" s="10">
        <v>295.13</v>
      </c>
      <c r="W106" s="10">
        <v>446.47</v>
      </c>
      <c r="X106" s="10">
        <v>572.79999999999995</v>
      </c>
      <c r="Y106" s="10">
        <v>402.93</v>
      </c>
      <c r="Z106" s="42">
        <v>0</v>
      </c>
      <c r="AA106" s="42">
        <v>0</v>
      </c>
      <c r="AB106" s="10">
        <v>0</v>
      </c>
      <c r="AC106" s="10">
        <v>0</v>
      </c>
      <c r="AD106" s="10">
        <v>99.67</v>
      </c>
      <c r="AE106" s="10">
        <v>56.6</v>
      </c>
      <c r="AF106" s="10">
        <v>194.13</v>
      </c>
      <c r="AG106" s="10">
        <v>50.87</v>
      </c>
      <c r="AH106" s="33">
        <v>0</v>
      </c>
      <c r="AI106" s="42">
        <v>0</v>
      </c>
      <c r="AJ106" s="42">
        <v>0</v>
      </c>
      <c r="AK106" s="7">
        <v>0</v>
      </c>
    </row>
    <row r="107" spans="1:37" ht="15">
      <c r="A107" s="16">
        <v>45627</v>
      </c>
      <c r="B107" s="10">
        <v>436.92</v>
      </c>
      <c r="C107" s="10">
        <v>185.67</v>
      </c>
      <c r="D107" s="10">
        <v>0</v>
      </c>
      <c r="E107" s="10">
        <v>176.08</v>
      </c>
      <c r="F107" s="10">
        <v>267.58</v>
      </c>
      <c r="G107" s="10">
        <v>211.75</v>
      </c>
      <c r="H107" s="33">
        <v>0</v>
      </c>
      <c r="I107" s="10">
        <v>94.58</v>
      </c>
      <c r="J107" s="10">
        <v>179.75</v>
      </c>
      <c r="K107" s="10">
        <v>155.75</v>
      </c>
      <c r="L107" s="10">
        <v>173.92</v>
      </c>
      <c r="M107" s="10">
        <v>0</v>
      </c>
      <c r="N107" s="10">
        <v>252.33</v>
      </c>
      <c r="O107" s="10">
        <v>360.75</v>
      </c>
      <c r="P107" s="10">
        <v>0</v>
      </c>
      <c r="Q107" s="10">
        <v>89.25</v>
      </c>
      <c r="R107" s="10">
        <v>166.5</v>
      </c>
      <c r="S107" s="10">
        <v>88.58</v>
      </c>
      <c r="T107" s="42">
        <v>0</v>
      </c>
      <c r="U107" s="10">
        <v>92</v>
      </c>
      <c r="V107" s="10">
        <v>368.92</v>
      </c>
      <c r="W107" s="10">
        <v>558.08000000000004</v>
      </c>
      <c r="X107" s="10">
        <v>716</v>
      </c>
      <c r="Y107" s="10">
        <v>503.67</v>
      </c>
      <c r="Z107" s="42">
        <v>0</v>
      </c>
      <c r="AA107" s="42">
        <v>0</v>
      </c>
      <c r="AB107" s="10">
        <v>0</v>
      </c>
      <c r="AC107" s="10">
        <v>0</v>
      </c>
      <c r="AD107" s="10">
        <v>124.58</v>
      </c>
      <c r="AE107" s="10">
        <v>70.75</v>
      </c>
      <c r="AF107" s="10">
        <v>242.67</v>
      </c>
      <c r="AG107" s="10">
        <v>63.58</v>
      </c>
      <c r="AH107" s="33">
        <v>0</v>
      </c>
      <c r="AI107" s="42">
        <v>0</v>
      </c>
      <c r="AJ107" s="42">
        <v>0</v>
      </c>
      <c r="AK107" s="7">
        <v>0</v>
      </c>
    </row>
    <row r="113" spans="1:38" ht="15">
      <c r="A113" s="63" t="s">
        <v>3</v>
      </c>
      <c r="B113" s="63"/>
      <c r="C113" s="63"/>
      <c r="D113" s="63"/>
      <c r="E113" s="63"/>
    </row>
    <row r="114" spans="1:38" ht="15">
      <c r="A114" s="16">
        <v>44197</v>
      </c>
      <c r="B114" s="7">
        <v>176.88</v>
      </c>
      <c r="C114" s="7">
        <v>184.5</v>
      </c>
      <c r="D114" s="7">
        <v>238.2</v>
      </c>
      <c r="E114" s="33">
        <v>0</v>
      </c>
      <c r="F114" s="7">
        <v>180.36</v>
      </c>
      <c r="G114" s="7">
        <v>95.52</v>
      </c>
      <c r="H114" s="33">
        <v>0</v>
      </c>
      <c r="I114" s="7">
        <v>76.92</v>
      </c>
      <c r="J114" s="7">
        <v>102.3</v>
      </c>
      <c r="K114" s="7">
        <v>103.14</v>
      </c>
      <c r="L114" s="7">
        <v>180.18</v>
      </c>
      <c r="M114" s="33">
        <v>0</v>
      </c>
      <c r="N114" s="7">
        <v>186.18</v>
      </c>
      <c r="O114" s="7">
        <v>197.7</v>
      </c>
      <c r="P114" s="7">
        <v>168.24</v>
      </c>
      <c r="Q114" s="7">
        <v>95.7</v>
      </c>
      <c r="R114" s="7">
        <v>175.38</v>
      </c>
      <c r="S114" s="7">
        <v>97.32</v>
      </c>
      <c r="T114" s="42">
        <v>0</v>
      </c>
      <c r="U114" s="7">
        <v>76.739999999999995</v>
      </c>
      <c r="V114" s="7">
        <v>185.58</v>
      </c>
      <c r="W114" s="7">
        <v>523.91999999999996</v>
      </c>
      <c r="X114" s="7">
        <v>533.22</v>
      </c>
      <c r="Y114" s="7">
        <v>520.14</v>
      </c>
      <c r="Z114" s="7">
        <v>0</v>
      </c>
      <c r="AA114" s="7">
        <v>0</v>
      </c>
      <c r="AB114" s="7">
        <v>0</v>
      </c>
      <c r="AC114" s="33">
        <v>0</v>
      </c>
      <c r="AD114" s="7">
        <v>0</v>
      </c>
      <c r="AE114" s="7">
        <v>55.2</v>
      </c>
      <c r="AF114" s="33">
        <v>0</v>
      </c>
      <c r="AG114" s="7">
        <v>0</v>
      </c>
      <c r="AH114" s="33">
        <v>0</v>
      </c>
      <c r="AI114" s="42">
        <v>0</v>
      </c>
      <c r="AJ114" s="42">
        <v>0</v>
      </c>
      <c r="AK114" s="42">
        <v>0</v>
      </c>
      <c r="AL114" s="7"/>
    </row>
    <row r="115" spans="1:38" ht="15">
      <c r="A115" s="16">
        <v>44228</v>
      </c>
      <c r="B115" s="7">
        <v>117.92</v>
      </c>
      <c r="C115" s="7">
        <v>123</v>
      </c>
      <c r="D115" s="7">
        <v>158.80000000000001</v>
      </c>
      <c r="E115" s="33">
        <v>0</v>
      </c>
      <c r="F115" s="7">
        <v>120.24</v>
      </c>
      <c r="G115" s="7">
        <v>63.68</v>
      </c>
      <c r="H115" s="33">
        <v>0</v>
      </c>
      <c r="I115" s="7">
        <v>51.28</v>
      </c>
      <c r="J115" s="7">
        <v>68.2</v>
      </c>
      <c r="K115" s="7">
        <v>68.760000000000005</v>
      </c>
      <c r="L115" s="7">
        <v>120.12</v>
      </c>
      <c r="M115" s="33">
        <v>0</v>
      </c>
      <c r="N115" s="7">
        <v>124.12</v>
      </c>
      <c r="O115" s="7">
        <v>131.80000000000001</v>
      </c>
      <c r="P115" s="7">
        <v>112.16</v>
      </c>
      <c r="Q115" s="7">
        <v>63.8</v>
      </c>
      <c r="R115" s="7">
        <v>116.92</v>
      </c>
      <c r="S115" s="7">
        <v>64.88</v>
      </c>
      <c r="T115" s="42">
        <v>0</v>
      </c>
      <c r="U115" s="7">
        <v>51.16</v>
      </c>
      <c r="V115" s="7">
        <v>123.72</v>
      </c>
      <c r="W115" s="7">
        <v>349.28</v>
      </c>
      <c r="X115" s="7">
        <v>355.48</v>
      </c>
      <c r="Y115" s="7">
        <v>346.76</v>
      </c>
      <c r="Z115" s="7">
        <v>0</v>
      </c>
      <c r="AA115" s="7">
        <v>0</v>
      </c>
      <c r="AB115" s="7">
        <v>0</v>
      </c>
      <c r="AC115" s="33">
        <v>0</v>
      </c>
      <c r="AD115" s="7">
        <v>0</v>
      </c>
      <c r="AE115" s="7">
        <v>36.799999999999997</v>
      </c>
      <c r="AF115" s="33">
        <v>0</v>
      </c>
      <c r="AG115" s="7">
        <v>0</v>
      </c>
      <c r="AH115" s="33">
        <v>0</v>
      </c>
      <c r="AI115" s="42">
        <v>0</v>
      </c>
      <c r="AJ115" s="42">
        <v>0</v>
      </c>
      <c r="AK115" s="42">
        <v>0</v>
      </c>
      <c r="AL115" s="7"/>
    </row>
    <row r="116" spans="1:38" ht="15">
      <c r="A116" s="16">
        <v>44256</v>
      </c>
      <c r="B116" s="7">
        <v>117.92</v>
      </c>
      <c r="C116" s="7">
        <v>123</v>
      </c>
      <c r="D116" s="7">
        <v>158.80000000000001</v>
      </c>
      <c r="E116" s="33">
        <v>0</v>
      </c>
      <c r="F116" s="7">
        <v>120.24</v>
      </c>
      <c r="G116" s="7">
        <v>63.68</v>
      </c>
      <c r="H116" s="33">
        <v>0</v>
      </c>
      <c r="I116" s="7">
        <v>51.28</v>
      </c>
      <c r="J116" s="7">
        <v>68.2</v>
      </c>
      <c r="K116" s="7">
        <v>68.760000000000005</v>
      </c>
      <c r="L116" s="7">
        <v>120.12</v>
      </c>
      <c r="M116" s="33">
        <v>0</v>
      </c>
      <c r="N116" s="7">
        <v>124.12</v>
      </c>
      <c r="O116" s="7">
        <v>131.80000000000001</v>
      </c>
      <c r="P116" s="7">
        <v>112.16</v>
      </c>
      <c r="Q116" s="7">
        <v>63.8</v>
      </c>
      <c r="R116" s="7">
        <v>116.92</v>
      </c>
      <c r="S116" s="7">
        <v>64.88</v>
      </c>
      <c r="T116" s="42">
        <v>0</v>
      </c>
      <c r="U116" s="7">
        <v>51.16</v>
      </c>
      <c r="V116" s="7">
        <v>123.72</v>
      </c>
      <c r="W116" s="7">
        <v>349.28</v>
      </c>
      <c r="X116" s="7">
        <v>355.48</v>
      </c>
      <c r="Y116" s="7">
        <v>346.76</v>
      </c>
      <c r="Z116" s="7">
        <v>0</v>
      </c>
      <c r="AA116" s="7">
        <v>0</v>
      </c>
      <c r="AB116" s="7">
        <v>0</v>
      </c>
      <c r="AC116" s="33">
        <v>0</v>
      </c>
      <c r="AD116" s="7">
        <v>0</v>
      </c>
      <c r="AE116" s="7">
        <v>36.799999999999997</v>
      </c>
      <c r="AF116" s="33">
        <v>0</v>
      </c>
      <c r="AG116" s="7">
        <v>0</v>
      </c>
      <c r="AH116" s="33">
        <v>0</v>
      </c>
      <c r="AI116" s="42">
        <v>0</v>
      </c>
      <c r="AJ116" s="42">
        <v>0</v>
      </c>
      <c r="AK116" s="42">
        <v>0</v>
      </c>
      <c r="AL116" s="7"/>
    </row>
    <row r="117" spans="1:38" ht="15">
      <c r="A117" s="16">
        <v>44287</v>
      </c>
      <c r="B117" s="7">
        <v>117.92</v>
      </c>
      <c r="C117" s="7">
        <v>123</v>
      </c>
      <c r="D117" s="7">
        <v>158.80000000000001</v>
      </c>
      <c r="E117" s="7">
        <v>67.290000000000006</v>
      </c>
      <c r="F117" s="7">
        <v>120.24</v>
      </c>
      <c r="G117" s="7">
        <v>63.68</v>
      </c>
      <c r="H117" s="33">
        <v>0</v>
      </c>
      <c r="I117" s="7">
        <v>51.4</v>
      </c>
      <c r="J117" s="7">
        <v>68.2</v>
      </c>
      <c r="K117" s="7">
        <v>68.760000000000005</v>
      </c>
      <c r="L117" s="7">
        <v>119.73</v>
      </c>
      <c r="M117" s="33">
        <v>0</v>
      </c>
      <c r="N117" s="7">
        <v>124.09</v>
      </c>
      <c r="O117" s="7">
        <v>210.67</v>
      </c>
      <c r="P117" s="7">
        <v>28.04</v>
      </c>
      <c r="Q117" s="7">
        <v>63.8</v>
      </c>
      <c r="R117" s="7">
        <v>116.92</v>
      </c>
      <c r="S117" s="7">
        <v>63.62</v>
      </c>
      <c r="T117" s="42">
        <v>0</v>
      </c>
      <c r="U117" s="7">
        <v>51.16</v>
      </c>
      <c r="V117" s="7">
        <v>123.72</v>
      </c>
      <c r="W117" s="7">
        <v>349.28</v>
      </c>
      <c r="X117" s="7">
        <v>355.48</v>
      </c>
      <c r="Y117" s="7">
        <v>346.76</v>
      </c>
      <c r="Z117" s="7">
        <v>0</v>
      </c>
      <c r="AA117" s="7">
        <v>0</v>
      </c>
      <c r="AB117" s="7">
        <v>0</v>
      </c>
      <c r="AC117" s="33">
        <v>0</v>
      </c>
      <c r="AD117" s="7">
        <v>0</v>
      </c>
      <c r="AE117" s="7">
        <v>36.799999999999997</v>
      </c>
      <c r="AF117" s="33">
        <v>0</v>
      </c>
      <c r="AG117" s="7">
        <v>0</v>
      </c>
      <c r="AH117" s="33">
        <v>0</v>
      </c>
      <c r="AI117" s="42">
        <v>0</v>
      </c>
      <c r="AJ117" s="42">
        <v>0</v>
      </c>
      <c r="AK117" s="42">
        <v>0</v>
      </c>
      <c r="AL117" s="7"/>
    </row>
    <row r="118" spans="1:38" ht="15">
      <c r="A118" s="16">
        <v>44317</v>
      </c>
      <c r="B118" s="7">
        <v>176.88</v>
      </c>
      <c r="C118" s="7">
        <v>184.5</v>
      </c>
      <c r="D118" s="7">
        <v>238.2</v>
      </c>
      <c r="E118" s="7">
        <v>134.58000000000001</v>
      </c>
      <c r="F118" s="7">
        <v>180.36</v>
      </c>
      <c r="G118" s="7">
        <v>95.52</v>
      </c>
      <c r="H118" s="33">
        <v>0</v>
      </c>
      <c r="I118" s="7">
        <v>77.16</v>
      </c>
      <c r="J118" s="7">
        <v>102.3</v>
      </c>
      <c r="K118" s="7">
        <v>103.14</v>
      </c>
      <c r="L118" s="7">
        <v>179.4</v>
      </c>
      <c r="M118" s="33">
        <v>0</v>
      </c>
      <c r="N118" s="7">
        <v>186.12</v>
      </c>
      <c r="O118" s="7">
        <v>355.44</v>
      </c>
      <c r="P118" s="33">
        <v>0</v>
      </c>
      <c r="Q118" s="7">
        <v>95.7</v>
      </c>
      <c r="R118" s="7">
        <v>175.38</v>
      </c>
      <c r="S118" s="7">
        <v>94.8</v>
      </c>
      <c r="T118" s="42">
        <v>0</v>
      </c>
      <c r="U118" s="7">
        <v>76.739999999999995</v>
      </c>
      <c r="V118" s="7">
        <v>185.58</v>
      </c>
      <c r="W118" s="7">
        <v>523.91999999999996</v>
      </c>
      <c r="X118" s="7">
        <v>533.22</v>
      </c>
      <c r="Y118" s="7">
        <v>520.14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55.2</v>
      </c>
      <c r="AF118" s="33">
        <v>0</v>
      </c>
      <c r="AG118" s="7">
        <v>0</v>
      </c>
      <c r="AH118" s="33">
        <v>0</v>
      </c>
      <c r="AI118" s="42">
        <v>0</v>
      </c>
      <c r="AJ118" s="42">
        <v>0</v>
      </c>
      <c r="AK118" s="7">
        <v>0</v>
      </c>
      <c r="AL118" s="7"/>
    </row>
    <row r="119" spans="1:38" ht="15">
      <c r="A119" s="16">
        <v>44348</v>
      </c>
      <c r="B119" s="7">
        <v>117.92</v>
      </c>
      <c r="C119" s="7">
        <v>123</v>
      </c>
      <c r="D119" s="7">
        <v>158.80000000000001</v>
      </c>
      <c r="E119" s="7">
        <v>89.72</v>
      </c>
      <c r="F119" s="7">
        <v>120.24</v>
      </c>
      <c r="G119" s="7">
        <v>63.68</v>
      </c>
      <c r="H119" s="33">
        <v>0</v>
      </c>
      <c r="I119" s="7">
        <v>51.44</v>
      </c>
      <c r="J119" s="7">
        <v>68.2</v>
      </c>
      <c r="K119" s="7">
        <v>68.760000000000005</v>
      </c>
      <c r="L119" s="7">
        <v>119.6</v>
      </c>
      <c r="M119" s="33">
        <v>0</v>
      </c>
      <c r="N119" s="7">
        <v>124.08</v>
      </c>
      <c r="O119" s="7">
        <v>236.96</v>
      </c>
      <c r="P119" s="33">
        <v>0</v>
      </c>
      <c r="Q119" s="7">
        <v>63.8</v>
      </c>
      <c r="R119" s="7">
        <v>116.92</v>
      </c>
      <c r="S119" s="7">
        <v>63.2</v>
      </c>
      <c r="T119" s="42">
        <v>0</v>
      </c>
      <c r="U119" s="7">
        <v>51.16</v>
      </c>
      <c r="V119" s="7">
        <v>123.72</v>
      </c>
      <c r="W119" s="7">
        <v>349.28</v>
      </c>
      <c r="X119" s="7">
        <v>355.48</v>
      </c>
      <c r="Y119" s="7">
        <v>346.76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36.799999999999997</v>
      </c>
      <c r="AF119" s="33">
        <v>0</v>
      </c>
      <c r="AG119" s="7">
        <v>0</v>
      </c>
      <c r="AH119" s="33">
        <v>0</v>
      </c>
      <c r="AI119" s="42">
        <v>0</v>
      </c>
      <c r="AJ119" s="42">
        <v>0</v>
      </c>
      <c r="AK119" s="7">
        <v>0</v>
      </c>
      <c r="AL119" s="7"/>
    </row>
    <row r="120" spans="1:38" ht="15">
      <c r="A120" s="16">
        <v>44378</v>
      </c>
      <c r="B120" s="7">
        <v>147.4</v>
      </c>
      <c r="C120" s="7">
        <v>153.75</v>
      </c>
      <c r="D120" s="7">
        <v>198.5</v>
      </c>
      <c r="E120" s="7">
        <v>112.15</v>
      </c>
      <c r="F120" s="7">
        <v>150.30000000000001</v>
      </c>
      <c r="G120" s="7">
        <v>79.599999999999994</v>
      </c>
      <c r="H120" s="33">
        <v>0</v>
      </c>
      <c r="I120" s="7">
        <v>64.3</v>
      </c>
      <c r="J120" s="7">
        <v>85.25</v>
      </c>
      <c r="K120" s="7">
        <v>85.95</v>
      </c>
      <c r="L120" s="7">
        <v>149.5</v>
      </c>
      <c r="M120" s="33">
        <v>0</v>
      </c>
      <c r="N120" s="7">
        <v>155.1</v>
      </c>
      <c r="O120" s="7">
        <v>296.2</v>
      </c>
      <c r="P120" s="33">
        <v>0</v>
      </c>
      <c r="Q120" s="7">
        <v>79.75</v>
      </c>
      <c r="R120" s="7">
        <v>146.15</v>
      </c>
      <c r="S120" s="7">
        <v>79</v>
      </c>
      <c r="T120" s="42">
        <v>0</v>
      </c>
      <c r="U120" s="7">
        <v>63.95</v>
      </c>
      <c r="V120" s="7">
        <v>154.65</v>
      </c>
      <c r="W120" s="7">
        <v>436.6</v>
      </c>
      <c r="X120" s="7">
        <v>444.35</v>
      </c>
      <c r="Y120" s="7">
        <v>433.45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46</v>
      </c>
      <c r="AF120" s="33">
        <v>0</v>
      </c>
      <c r="AG120" s="7">
        <v>0</v>
      </c>
      <c r="AH120" s="33">
        <v>0</v>
      </c>
      <c r="AI120" s="42">
        <v>0</v>
      </c>
      <c r="AJ120" s="42">
        <v>0</v>
      </c>
      <c r="AK120" s="7">
        <v>0</v>
      </c>
      <c r="AL120" s="7"/>
    </row>
    <row r="121" spans="1:38" ht="15">
      <c r="A121" s="16">
        <v>44409</v>
      </c>
      <c r="B121" s="7">
        <v>147.4</v>
      </c>
      <c r="C121" s="7">
        <v>153.75</v>
      </c>
      <c r="D121" s="7">
        <v>198.5</v>
      </c>
      <c r="E121" s="7">
        <v>112.15</v>
      </c>
      <c r="F121" s="7">
        <v>150.30000000000001</v>
      </c>
      <c r="G121" s="7">
        <v>79.599999999999994</v>
      </c>
      <c r="H121" s="33">
        <v>0</v>
      </c>
      <c r="I121" s="7">
        <v>64.3</v>
      </c>
      <c r="J121" s="7">
        <v>85.25</v>
      </c>
      <c r="K121" s="7">
        <v>85.95</v>
      </c>
      <c r="L121" s="7">
        <v>149.5</v>
      </c>
      <c r="M121" s="33">
        <v>0</v>
      </c>
      <c r="N121" s="7">
        <v>155.1</v>
      </c>
      <c r="O121" s="7">
        <v>296.2</v>
      </c>
      <c r="P121" s="33">
        <v>0</v>
      </c>
      <c r="Q121" s="7">
        <v>79.75</v>
      </c>
      <c r="R121" s="7">
        <v>146.15</v>
      </c>
      <c r="S121" s="7">
        <v>79</v>
      </c>
      <c r="T121" s="42">
        <v>0</v>
      </c>
      <c r="U121" s="7">
        <v>63.95</v>
      </c>
      <c r="V121" s="7">
        <v>154.65</v>
      </c>
      <c r="W121" s="7">
        <v>436.6</v>
      </c>
      <c r="X121" s="7">
        <v>444.35</v>
      </c>
      <c r="Y121" s="7">
        <v>433.45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46</v>
      </c>
      <c r="AF121" s="33">
        <v>0</v>
      </c>
      <c r="AG121" s="7">
        <v>0</v>
      </c>
      <c r="AH121" s="33">
        <v>0</v>
      </c>
      <c r="AI121" s="42">
        <v>0</v>
      </c>
      <c r="AJ121" s="42">
        <v>0</v>
      </c>
      <c r="AK121" s="7">
        <v>0</v>
      </c>
      <c r="AL121" s="7"/>
    </row>
    <row r="122" spans="1:38" ht="15">
      <c r="A122" s="16">
        <v>44440</v>
      </c>
      <c r="B122" s="7">
        <v>147.4</v>
      </c>
      <c r="C122" s="7">
        <v>153.75</v>
      </c>
      <c r="D122" s="7">
        <v>198.5</v>
      </c>
      <c r="E122" s="7">
        <v>112.15</v>
      </c>
      <c r="F122" s="7">
        <v>150.30000000000001</v>
      </c>
      <c r="G122" s="7">
        <v>79.599999999999994</v>
      </c>
      <c r="H122" s="33">
        <v>0</v>
      </c>
      <c r="I122" s="7">
        <v>64.3</v>
      </c>
      <c r="J122" s="7">
        <v>85.25</v>
      </c>
      <c r="K122" s="7">
        <v>85.95</v>
      </c>
      <c r="L122" s="7">
        <v>149.5</v>
      </c>
      <c r="M122" s="33">
        <v>0</v>
      </c>
      <c r="N122" s="7">
        <v>155.1</v>
      </c>
      <c r="O122" s="7">
        <v>296.2</v>
      </c>
      <c r="P122" s="33">
        <v>0</v>
      </c>
      <c r="Q122" s="7">
        <v>79.75</v>
      </c>
      <c r="R122" s="7">
        <v>146.15</v>
      </c>
      <c r="S122" s="7">
        <v>79</v>
      </c>
      <c r="T122" s="42">
        <v>0</v>
      </c>
      <c r="U122" s="7">
        <v>63.95</v>
      </c>
      <c r="V122" s="7">
        <v>154.65</v>
      </c>
      <c r="W122" s="7">
        <v>436.6</v>
      </c>
      <c r="X122" s="7">
        <v>444.35</v>
      </c>
      <c r="Y122" s="7">
        <v>433.45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46</v>
      </c>
      <c r="AF122" s="33">
        <v>0</v>
      </c>
      <c r="AG122" s="7">
        <v>0</v>
      </c>
      <c r="AH122" s="33">
        <v>0</v>
      </c>
      <c r="AI122" s="42">
        <v>0</v>
      </c>
      <c r="AJ122" s="42">
        <v>0</v>
      </c>
      <c r="AK122" s="7">
        <v>0</v>
      </c>
      <c r="AL122" s="7"/>
    </row>
    <row r="123" spans="1:38" ht="15">
      <c r="A123" s="16">
        <v>44470</v>
      </c>
      <c r="B123" s="7">
        <v>157.94999999999999</v>
      </c>
      <c r="C123" s="7">
        <v>163.75</v>
      </c>
      <c r="D123" s="7">
        <v>222.1</v>
      </c>
      <c r="E123" s="7">
        <v>112.5</v>
      </c>
      <c r="F123" s="7">
        <v>158.1</v>
      </c>
      <c r="G123" s="7">
        <v>89.55</v>
      </c>
      <c r="H123" s="33">
        <v>0</v>
      </c>
      <c r="I123" s="7">
        <v>90.25</v>
      </c>
      <c r="J123" s="7">
        <v>95.25</v>
      </c>
      <c r="K123" s="7">
        <v>89.6</v>
      </c>
      <c r="L123" s="7">
        <v>169.35</v>
      </c>
      <c r="M123" s="33">
        <v>0</v>
      </c>
      <c r="N123" s="7">
        <v>163.15</v>
      </c>
      <c r="O123" s="7">
        <v>312.35000000000002</v>
      </c>
      <c r="P123" s="33">
        <v>0</v>
      </c>
      <c r="Q123" s="7">
        <v>89.75</v>
      </c>
      <c r="R123" s="7">
        <v>156</v>
      </c>
      <c r="S123" s="7">
        <v>79</v>
      </c>
      <c r="T123" s="42">
        <v>0</v>
      </c>
      <c r="U123" s="7">
        <v>73.95</v>
      </c>
      <c r="V123" s="7">
        <v>173.4</v>
      </c>
      <c r="W123" s="7">
        <v>463.25</v>
      </c>
      <c r="X123" s="7">
        <v>464</v>
      </c>
      <c r="Y123" s="7">
        <v>452.4</v>
      </c>
      <c r="Z123" s="42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46</v>
      </c>
      <c r="AF123" s="33">
        <v>0</v>
      </c>
      <c r="AG123" s="7">
        <v>0</v>
      </c>
      <c r="AH123" s="33">
        <v>0</v>
      </c>
      <c r="AI123" s="42">
        <v>0</v>
      </c>
      <c r="AJ123" s="42">
        <v>0</v>
      </c>
      <c r="AK123" s="7">
        <v>0</v>
      </c>
      <c r="AL123" s="7"/>
    </row>
    <row r="124" spans="1:38" ht="15">
      <c r="A124" s="16">
        <v>44501</v>
      </c>
      <c r="B124" s="7">
        <v>157.94999999999999</v>
      </c>
      <c r="C124" s="7">
        <v>163.75</v>
      </c>
      <c r="D124" s="7">
        <v>222.1</v>
      </c>
      <c r="E124" s="7">
        <v>112.5</v>
      </c>
      <c r="F124" s="7">
        <v>158.1</v>
      </c>
      <c r="G124" s="7">
        <v>89.55</v>
      </c>
      <c r="H124" s="33">
        <v>0</v>
      </c>
      <c r="I124" s="7">
        <v>90.25</v>
      </c>
      <c r="J124" s="7">
        <v>95.25</v>
      </c>
      <c r="K124" s="7">
        <v>89.6</v>
      </c>
      <c r="L124" s="7">
        <v>169.35</v>
      </c>
      <c r="M124" s="33">
        <v>0</v>
      </c>
      <c r="N124" s="7">
        <v>163.15</v>
      </c>
      <c r="O124" s="7">
        <v>312.35000000000002</v>
      </c>
      <c r="P124" s="33">
        <v>0</v>
      </c>
      <c r="Q124" s="7">
        <v>89.75</v>
      </c>
      <c r="R124" s="7">
        <v>156</v>
      </c>
      <c r="S124" s="7">
        <v>79</v>
      </c>
      <c r="T124" s="42">
        <v>0</v>
      </c>
      <c r="U124" s="7">
        <v>73.95</v>
      </c>
      <c r="V124" s="7">
        <v>173.4</v>
      </c>
      <c r="W124" s="7">
        <v>463.25</v>
      </c>
      <c r="X124" s="7">
        <v>464</v>
      </c>
      <c r="Y124" s="7">
        <v>452.4</v>
      </c>
      <c r="Z124" s="42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46</v>
      </c>
      <c r="AF124" s="33">
        <v>0</v>
      </c>
      <c r="AG124" s="7">
        <v>0</v>
      </c>
      <c r="AH124" s="33">
        <v>0</v>
      </c>
      <c r="AI124" s="42">
        <v>0</v>
      </c>
      <c r="AJ124" s="42">
        <v>0</v>
      </c>
      <c r="AK124" s="7">
        <v>0</v>
      </c>
      <c r="AL124" s="7"/>
    </row>
    <row r="125" spans="1:38" ht="15">
      <c r="A125" s="16">
        <v>44531</v>
      </c>
      <c r="B125" s="7">
        <v>189.54</v>
      </c>
      <c r="C125" s="7">
        <v>196.5</v>
      </c>
      <c r="D125" s="7">
        <v>266.52</v>
      </c>
      <c r="E125" s="7">
        <v>135</v>
      </c>
      <c r="F125" s="7">
        <v>189.72</v>
      </c>
      <c r="G125" s="7">
        <v>107.46</v>
      </c>
      <c r="H125" s="33">
        <v>0</v>
      </c>
      <c r="I125" s="7">
        <v>108.3</v>
      </c>
      <c r="J125" s="7">
        <v>114.3</v>
      </c>
      <c r="K125" s="7">
        <v>107.52</v>
      </c>
      <c r="L125" s="7">
        <v>203.22</v>
      </c>
      <c r="M125" s="33">
        <v>0</v>
      </c>
      <c r="N125" s="7">
        <v>195.78</v>
      </c>
      <c r="O125" s="7">
        <v>374.82</v>
      </c>
      <c r="P125" s="33">
        <v>0</v>
      </c>
      <c r="Q125" s="7">
        <v>107.7</v>
      </c>
      <c r="R125" s="7">
        <v>187.2</v>
      </c>
      <c r="S125" s="7">
        <v>94.8</v>
      </c>
      <c r="T125" s="42">
        <v>0</v>
      </c>
      <c r="U125" s="7">
        <v>88.74</v>
      </c>
      <c r="V125" s="7">
        <v>208.08</v>
      </c>
      <c r="W125" s="7">
        <v>555.9</v>
      </c>
      <c r="X125" s="7">
        <v>556.79999999999995</v>
      </c>
      <c r="Y125" s="7">
        <v>542.88</v>
      </c>
      <c r="Z125" s="42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55.2</v>
      </c>
      <c r="AF125" s="33">
        <v>0</v>
      </c>
      <c r="AG125" s="7">
        <v>0</v>
      </c>
      <c r="AH125" s="33">
        <v>0</v>
      </c>
      <c r="AI125" s="42">
        <v>0</v>
      </c>
      <c r="AJ125" s="42">
        <v>0</v>
      </c>
      <c r="AK125" s="7">
        <v>0</v>
      </c>
      <c r="AL125" s="7"/>
    </row>
    <row r="126" spans="1:38" ht="15">
      <c r="A126" s="16">
        <v>44562</v>
      </c>
      <c r="B126" s="7">
        <v>157.94999999999999</v>
      </c>
      <c r="C126" s="7">
        <v>163.75</v>
      </c>
      <c r="D126" s="7">
        <v>222.1</v>
      </c>
      <c r="E126" s="7">
        <v>112.5</v>
      </c>
      <c r="F126" s="7">
        <v>158.1</v>
      </c>
      <c r="G126" s="7">
        <v>89.55</v>
      </c>
      <c r="H126" s="33">
        <v>0</v>
      </c>
      <c r="I126" s="7">
        <v>90.25</v>
      </c>
      <c r="J126" s="7">
        <v>95.25</v>
      </c>
      <c r="K126" s="7">
        <v>89.6</v>
      </c>
      <c r="L126" s="7">
        <v>169.35</v>
      </c>
      <c r="M126" s="33">
        <v>0</v>
      </c>
      <c r="N126" s="7">
        <v>163.15</v>
      </c>
      <c r="O126" s="7">
        <v>312.35000000000002</v>
      </c>
      <c r="P126" s="33">
        <v>0</v>
      </c>
      <c r="Q126" s="7">
        <v>89.75</v>
      </c>
      <c r="R126" s="7">
        <v>156</v>
      </c>
      <c r="S126" s="7">
        <v>79</v>
      </c>
      <c r="T126" s="42">
        <v>0</v>
      </c>
      <c r="U126" s="7">
        <v>73.95</v>
      </c>
      <c r="V126" s="7">
        <v>173.4</v>
      </c>
      <c r="W126" s="7">
        <v>463.25</v>
      </c>
      <c r="X126" s="7">
        <v>464</v>
      </c>
      <c r="Y126" s="7">
        <v>452.4</v>
      </c>
      <c r="Z126" s="42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46</v>
      </c>
      <c r="AF126" s="33">
        <v>0</v>
      </c>
      <c r="AG126" s="7">
        <v>0</v>
      </c>
      <c r="AH126" s="33">
        <v>0</v>
      </c>
      <c r="AI126" s="42">
        <v>0</v>
      </c>
      <c r="AJ126" s="42">
        <v>0</v>
      </c>
      <c r="AK126" s="7">
        <v>0</v>
      </c>
      <c r="AL126" s="7"/>
    </row>
    <row r="127" spans="1:38" ht="15">
      <c r="A127" s="16">
        <v>44593</v>
      </c>
      <c r="B127" s="7">
        <v>126.36</v>
      </c>
      <c r="C127" s="7">
        <v>131</v>
      </c>
      <c r="D127" s="7">
        <v>177.68</v>
      </c>
      <c r="E127" s="7">
        <v>90</v>
      </c>
      <c r="F127" s="7">
        <v>126.48</v>
      </c>
      <c r="G127" s="7">
        <v>71.64</v>
      </c>
      <c r="H127" s="33">
        <v>0</v>
      </c>
      <c r="I127" s="7">
        <v>72.2</v>
      </c>
      <c r="J127" s="7">
        <v>76.2</v>
      </c>
      <c r="K127" s="7">
        <v>71.680000000000007</v>
      </c>
      <c r="L127" s="7">
        <v>135.47999999999999</v>
      </c>
      <c r="M127" s="33">
        <v>0</v>
      </c>
      <c r="N127" s="7">
        <v>130.52000000000001</v>
      </c>
      <c r="O127" s="7">
        <v>249.88</v>
      </c>
      <c r="P127" s="33">
        <v>0</v>
      </c>
      <c r="Q127" s="7">
        <v>71.8</v>
      </c>
      <c r="R127" s="7">
        <v>124.8</v>
      </c>
      <c r="S127" s="7">
        <v>63.2</v>
      </c>
      <c r="T127" s="42">
        <v>0</v>
      </c>
      <c r="U127" s="7">
        <v>59.16</v>
      </c>
      <c r="V127" s="7">
        <v>138.72</v>
      </c>
      <c r="W127" s="7">
        <v>370.6</v>
      </c>
      <c r="X127" s="7">
        <v>371.2</v>
      </c>
      <c r="Y127" s="7">
        <v>361.92</v>
      </c>
      <c r="Z127" s="42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36.799999999999997</v>
      </c>
      <c r="AF127" s="33">
        <v>0</v>
      </c>
      <c r="AG127" s="7">
        <v>0</v>
      </c>
      <c r="AH127" s="33">
        <v>0</v>
      </c>
      <c r="AI127" s="42">
        <v>0</v>
      </c>
      <c r="AJ127" s="42">
        <v>0</v>
      </c>
      <c r="AK127" s="7">
        <v>0</v>
      </c>
      <c r="AL127" s="7"/>
    </row>
    <row r="128" spans="1:38" ht="15">
      <c r="A128" s="16">
        <v>44621</v>
      </c>
      <c r="B128" s="7">
        <v>72.2</v>
      </c>
      <c r="C128" s="7">
        <v>76.2</v>
      </c>
      <c r="D128" s="7">
        <v>71.680000000000007</v>
      </c>
      <c r="E128" s="7">
        <v>135.47999999999999</v>
      </c>
      <c r="F128" s="7">
        <v>130.52000000000001</v>
      </c>
      <c r="G128" s="7">
        <v>249.88</v>
      </c>
      <c r="H128" s="33">
        <v>0</v>
      </c>
      <c r="I128" s="7">
        <v>71.8</v>
      </c>
      <c r="J128" s="7">
        <v>124.8</v>
      </c>
      <c r="K128" s="7">
        <v>126.36</v>
      </c>
      <c r="L128" s="7">
        <v>63.2</v>
      </c>
      <c r="M128" s="33">
        <v>0</v>
      </c>
      <c r="N128" s="7">
        <v>131</v>
      </c>
      <c r="O128" s="7">
        <v>59.16</v>
      </c>
      <c r="P128" s="33">
        <v>0</v>
      </c>
      <c r="Q128" s="7">
        <v>177.68</v>
      </c>
      <c r="R128" s="7">
        <v>138.72</v>
      </c>
      <c r="S128" s="7">
        <v>370.6</v>
      </c>
      <c r="T128" s="42">
        <v>0</v>
      </c>
      <c r="U128" s="7">
        <v>371.2</v>
      </c>
      <c r="V128" s="7">
        <v>361.92</v>
      </c>
      <c r="W128" s="7">
        <v>90</v>
      </c>
      <c r="X128" s="7">
        <v>126.48</v>
      </c>
      <c r="Y128" s="7">
        <v>36.799999999999997</v>
      </c>
      <c r="Z128" s="42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71.64</v>
      </c>
      <c r="AF128" s="33">
        <v>0</v>
      </c>
      <c r="AG128" s="7">
        <v>0</v>
      </c>
      <c r="AH128" s="33">
        <v>0</v>
      </c>
      <c r="AI128" s="42">
        <v>0</v>
      </c>
      <c r="AJ128" s="42">
        <v>0</v>
      </c>
      <c r="AK128" s="7">
        <v>0</v>
      </c>
      <c r="AL128" s="7"/>
    </row>
    <row r="129" spans="1:38" ht="15">
      <c r="A129" s="16">
        <v>44652</v>
      </c>
      <c r="B129" s="7">
        <v>316</v>
      </c>
      <c r="C129" s="7">
        <v>131.08000000000001</v>
      </c>
      <c r="D129" s="7">
        <v>0</v>
      </c>
      <c r="E129" s="7">
        <v>124.52</v>
      </c>
      <c r="F129" s="7">
        <v>190.04</v>
      </c>
      <c r="G129" s="7">
        <v>71.52</v>
      </c>
      <c r="H129" s="33">
        <v>0</v>
      </c>
      <c r="I129" s="7">
        <v>72.2</v>
      </c>
      <c r="J129" s="7">
        <v>81.28</v>
      </c>
      <c r="K129" s="7">
        <v>71.680000000000007</v>
      </c>
      <c r="L129" s="7">
        <v>135.08000000000001</v>
      </c>
      <c r="M129" s="33">
        <v>0</v>
      </c>
      <c r="N129" s="7">
        <v>143.52000000000001</v>
      </c>
      <c r="O129" s="7">
        <v>259.72000000000003</v>
      </c>
      <c r="P129" s="33">
        <v>0</v>
      </c>
      <c r="Q129" s="7">
        <v>71.8</v>
      </c>
      <c r="R129" s="7">
        <v>120.12</v>
      </c>
      <c r="S129" s="7">
        <v>62.84</v>
      </c>
      <c r="T129" s="42">
        <v>0</v>
      </c>
      <c r="U129" s="7">
        <v>57.88</v>
      </c>
      <c r="V129" s="7">
        <v>266.60000000000002</v>
      </c>
      <c r="W129" s="7">
        <v>383.52</v>
      </c>
      <c r="X129" s="7">
        <v>384.68</v>
      </c>
      <c r="Y129" s="7">
        <v>375.08</v>
      </c>
      <c r="Z129" s="42">
        <v>0</v>
      </c>
      <c r="AA129" s="7">
        <v>0</v>
      </c>
      <c r="AB129" s="7">
        <v>0</v>
      </c>
      <c r="AC129" s="7">
        <v>0</v>
      </c>
      <c r="AD129" s="33">
        <v>0</v>
      </c>
      <c r="AE129" s="7">
        <v>62.4</v>
      </c>
      <c r="AF129" s="33">
        <v>0</v>
      </c>
      <c r="AG129" s="33">
        <v>0</v>
      </c>
      <c r="AH129" s="33">
        <v>0</v>
      </c>
      <c r="AI129" s="42">
        <v>0</v>
      </c>
      <c r="AJ129" s="42">
        <v>0</v>
      </c>
      <c r="AK129" s="7">
        <v>0</v>
      </c>
      <c r="AL129" s="7"/>
    </row>
    <row r="130" spans="1:38" ht="15">
      <c r="A130" s="16">
        <v>44682</v>
      </c>
      <c r="B130" s="7">
        <v>474</v>
      </c>
      <c r="C130" s="7">
        <v>196.62</v>
      </c>
      <c r="D130" s="7">
        <v>0</v>
      </c>
      <c r="E130" s="7">
        <v>186.78</v>
      </c>
      <c r="F130" s="7">
        <v>285.06</v>
      </c>
      <c r="G130" s="7">
        <v>107.28</v>
      </c>
      <c r="H130" s="33">
        <v>0</v>
      </c>
      <c r="I130" s="7">
        <v>108.3</v>
      </c>
      <c r="J130" s="7">
        <v>121.92</v>
      </c>
      <c r="K130" s="7">
        <v>107.52</v>
      </c>
      <c r="L130" s="7">
        <v>202.62</v>
      </c>
      <c r="M130" s="10">
        <v>0</v>
      </c>
      <c r="N130" s="7">
        <v>215.28</v>
      </c>
      <c r="O130" s="7">
        <v>389.58</v>
      </c>
      <c r="P130" s="7">
        <v>0</v>
      </c>
      <c r="Q130" s="7">
        <v>107.7</v>
      </c>
      <c r="R130" s="7">
        <v>180.18</v>
      </c>
      <c r="S130" s="7">
        <v>94.26</v>
      </c>
      <c r="T130" s="42">
        <v>0</v>
      </c>
      <c r="U130" s="7">
        <v>86.82</v>
      </c>
      <c r="V130" s="7">
        <v>399.9</v>
      </c>
      <c r="W130" s="7">
        <v>575.28</v>
      </c>
      <c r="X130" s="7">
        <v>577.02</v>
      </c>
      <c r="Y130" s="7">
        <v>562.62</v>
      </c>
      <c r="Z130" s="42">
        <v>0</v>
      </c>
      <c r="AA130" s="7">
        <v>0</v>
      </c>
      <c r="AB130" s="7">
        <v>0</v>
      </c>
      <c r="AC130" s="7">
        <v>0</v>
      </c>
      <c r="AD130" s="33">
        <v>0</v>
      </c>
      <c r="AE130" s="7">
        <v>93.6</v>
      </c>
      <c r="AF130" s="33">
        <v>0</v>
      </c>
      <c r="AG130" s="33">
        <v>0</v>
      </c>
      <c r="AH130" s="33">
        <v>0</v>
      </c>
      <c r="AI130" s="42">
        <v>0</v>
      </c>
      <c r="AJ130" s="42">
        <v>0</v>
      </c>
      <c r="AK130" s="7">
        <v>0</v>
      </c>
      <c r="AL130" s="7"/>
    </row>
    <row r="131" spans="1:38" ht="15">
      <c r="A131" s="16">
        <v>44713</v>
      </c>
      <c r="B131" s="7">
        <v>316</v>
      </c>
      <c r="C131" s="7">
        <v>131.08000000000001</v>
      </c>
      <c r="D131" s="7">
        <v>0</v>
      </c>
      <c r="E131" s="7">
        <v>124.52</v>
      </c>
      <c r="F131" s="7">
        <v>190.04</v>
      </c>
      <c r="G131" s="7">
        <v>71.52</v>
      </c>
      <c r="H131" s="33">
        <v>0</v>
      </c>
      <c r="I131" s="7">
        <v>72.2</v>
      </c>
      <c r="J131" s="7">
        <v>81.28</v>
      </c>
      <c r="K131" s="7">
        <v>71.680000000000007</v>
      </c>
      <c r="L131" s="7">
        <v>135.08000000000001</v>
      </c>
      <c r="M131" s="10">
        <v>0</v>
      </c>
      <c r="N131" s="7">
        <v>143.52000000000001</v>
      </c>
      <c r="O131" s="7">
        <v>259.72000000000003</v>
      </c>
      <c r="P131" s="7">
        <v>0</v>
      </c>
      <c r="Q131" s="7">
        <v>71.8</v>
      </c>
      <c r="R131" s="7">
        <v>120.12</v>
      </c>
      <c r="S131" s="7">
        <v>62.84</v>
      </c>
      <c r="T131" s="42">
        <v>0</v>
      </c>
      <c r="U131" s="7">
        <v>57.88</v>
      </c>
      <c r="V131" s="7">
        <v>266.60000000000002</v>
      </c>
      <c r="W131" s="7">
        <v>383.52</v>
      </c>
      <c r="X131" s="7">
        <v>384.68</v>
      </c>
      <c r="Y131" s="7">
        <v>375.08</v>
      </c>
      <c r="Z131" s="42">
        <v>0</v>
      </c>
      <c r="AA131" s="7">
        <v>0</v>
      </c>
      <c r="AB131" s="7">
        <v>0</v>
      </c>
      <c r="AC131" s="7">
        <v>0</v>
      </c>
      <c r="AD131" s="33">
        <v>0</v>
      </c>
      <c r="AE131" s="7">
        <v>62.4</v>
      </c>
      <c r="AF131" s="33">
        <v>0</v>
      </c>
      <c r="AG131" s="33">
        <v>0</v>
      </c>
      <c r="AH131" s="33">
        <v>0</v>
      </c>
      <c r="AI131" s="42">
        <v>0</v>
      </c>
      <c r="AJ131" s="42">
        <v>0</v>
      </c>
      <c r="AK131" s="7">
        <v>0</v>
      </c>
      <c r="AL131" s="7"/>
    </row>
    <row r="132" spans="1:38" ht="15">
      <c r="A132" s="16">
        <v>44743</v>
      </c>
      <c r="B132" s="25">
        <v>347.13</v>
      </c>
      <c r="C132" s="25">
        <v>154.13</v>
      </c>
      <c r="D132" s="7">
        <v>0</v>
      </c>
      <c r="E132" s="25">
        <v>112.17</v>
      </c>
      <c r="F132" s="25">
        <v>150.75</v>
      </c>
      <c r="G132" s="25">
        <v>79.88</v>
      </c>
      <c r="H132" s="33">
        <v>0</v>
      </c>
      <c r="I132" s="25">
        <v>64.33</v>
      </c>
      <c r="J132" s="25">
        <v>81.08</v>
      </c>
      <c r="K132" s="25">
        <v>86.38</v>
      </c>
      <c r="L132" s="25">
        <v>150.07</v>
      </c>
      <c r="M132" s="10">
        <v>0</v>
      </c>
      <c r="N132" s="25">
        <v>167.5</v>
      </c>
      <c r="O132" s="25">
        <v>297.08</v>
      </c>
      <c r="P132" s="7">
        <v>0</v>
      </c>
      <c r="Q132" s="25">
        <v>80.12</v>
      </c>
      <c r="R132" s="25">
        <v>150.91999999999999</v>
      </c>
      <c r="S132" s="25">
        <v>79.47</v>
      </c>
      <c r="T132" s="42">
        <v>0</v>
      </c>
      <c r="U132" s="25">
        <v>52.08</v>
      </c>
      <c r="V132" s="25">
        <v>155.22999999999999</v>
      </c>
      <c r="W132" s="25">
        <v>437.43</v>
      </c>
      <c r="X132" s="25">
        <v>445.02</v>
      </c>
      <c r="Y132" s="25">
        <v>434.18</v>
      </c>
      <c r="Z132" s="42">
        <v>0</v>
      </c>
      <c r="AA132" s="7">
        <v>0</v>
      </c>
      <c r="AB132" s="7">
        <v>0</v>
      </c>
      <c r="AC132" s="7">
        <v>0</v>
      </c>
      <c r="AD132" s="33">
        <v>0</v>
      </c>
      <c r="AE132" s="25">
        <v>46</v>
      </c>
      <c r="AF132" s="33">
        <v>0</v>
      </c>
      <c r="AG132" s="33">
        <v>0</v>
      </c>
      <c r="AH132" s="33">
        <v>0</v>
      </c>
      <c r="AI132" s="42">
        <v>0</v>
      </c>
      <c r="AJ132" s="42">
        <v>0</v>
      </c>
      <c r="AK132" s="7">
        <v>0</v>
      </c>
    </row>
    <row r="133" spans="1:38" ht="15">
      <c r="A133" s="16">
        <v>44774</v>
      </c>
      <c r="B133" s="7">
        <v>345.92</v>
      </c>
      <c r="C133" s="7">
        <v>153.75</v>
      </c>
      <c r="D133" s="7">
        <v>0</v>
      </c>
      <c r="E133" s="7">
        <v>112.17</v>
      </c>
      <c r="F133" s="7">
        <v>150.33000000000001</v>
      </c>
      <c r="G133" s="7">
        <v>79.58</v>
      </c>
      <c r="H133" s="33">
        <v>0</v>
      </c>
      <c r="I133" s="7">
        <v>64.33</v>
      </c>
      <c r="J133" s="7">
        <v>80.75</v>
      </c>
      <c r="K133" s="7">
        <v>85.92</v>
      </c>
      <c r="L133" s="7">
        <v>149.5</v>
      </c>
      <c r="M133" s="10">
        <v>0</v>
      </c>
      <c r="N133" s="7">
        <v>166.92</v>
      </c>
      <c r="O133" s="7">
        <v>296.17</v>
      </c>
      <c r="P133" s="7">
        <v>0</v>
      </c>
      <c r="Q133" s="7">
        <v>79.75</v>
      </c>
      <c r="R133" s="7">
        <v>150.66999999999999</v>
      </c>
      <c r="S133" s="7">
        <v>79</v>
      </c>
      <c r="T133" s="42">
        <v>0</v>
      </c>
      <c r="U133" s="7">
        <v>52.08</v>
      </c>
      <c r="V133" s="7">
        <v>154.66999999999999</v>
      </c>
      <c r="W133" s="7">
        <v>436.58</v>
      </c>
      <c r="X133" s="7">
        <v>444.33</v>
      </c>
      <c r="Y133" s="7">
        <v>433.42</v>
      </c>
      <c r="Z133" s="42">
        <v>0</v>
      </c>
      <c r="AA133" s="7">
        <v>0</v>
      </c>
      <c r="AB133" s="7">
        <v>0</v>
      </c>
      <c r="AC133" s="7">
        <v>0</v>
      </c>
      <c r="AD133" s="33">
        <v>0</v>
      </c>
      <c r="AE133" s="7">
        <v>46</v>
      </c>
      <c r="AF133" s="33">
        <v>0</v>
      </c>
      <c r="AG133" s="33">
        <v>0</v>
      </c>
      <c r="AH133" s="33">
        <v>0</v>
      </c>
      <c r="AI133" s="42">
        <v>0</v>
      </c>
      <c r="AJ133" s="42">
        <v>0</v>
      </c>
      <c r="AK133" s="7">
        <v>0</v>
      </c>
    </row>
    <row r="134" spans="1:38" ht="15">
      <c r="A134" s="16">
        <v>44805</v>
      </c>
      <c r="B134" s="25">
        <v>345.92</v>
      </c>
      <c r="C134" s="25">
        <v>153.75</v>
      </c>
      <c r="D134" s="7">
        <v>0</v>
      </c>
      <c r="E134" s="25">
        <v>112.17</v>
      </c>
      <c r="F134" s="25">
        <v>150.33000000000001</v>
      </c>
      <c r="G134" s="25">
        <v>79.58</v>
      </c>
      <c r="H134" s="33">
        <v>0</v>
      </c>
      <c r="I134" s="25">
        <v>64.33</v>
      </c>
      <c r="J134" s="25">
        <v>80.75</v>
      </c>
      <c r="K134" s="25">
        <v>85.92</v>
      </c>
      <c r="L134" s="25">
        <v>149.5</v>
      </c>
      <c r="M134" s="10">
        <v>0</v>
      </c>
      <c r="N134" s="25">
        <v>166.92</v>
      </c>
      <c r="O134" s="25">
        <v>296.17</v>
      </c>
      <c r="P134" s="7">
        <v>0</v>
      </c>
      <c r="Q134" s="25">
        <v>79.75</v>
      </c>
      <c r="R134" s="25">
        <v>150.66999999999999</v>
      </c>
      <c r="S134" s="25">
        <v>79</v>
      </c>
      <c r="T134" s="42">
        <v>0</v>
      </c>
      <c r="U134" s="25">
        <v>52.08</v>
      </c>
      <c r="V134" s="25">
        <v>154.66999999999999</v>
      </c>
      <c r="W134" s="25">
        <v>436.58</v>
      </c>
      <c r="X134" s="25">
        <v>444.33</v>
      </c>
      <c r="Y134" s="25">
        <v>433.42</v>
      </c>
      <c r="Z134" s="42">
        <v>0</v>
      </c>
      <c r="AA134" s="7">
        <v>0</v>
      </c>
      <c r="AB134" s="7">
        <v>0</v>
      </c>
      <c r="AC134" s="7">
        <v>0</v>
      </c>
      <c r="AD134" s="33">
        <v>0</v>
      </c>
      <c r="AE134" s="25">
        <v>46</v>
      </c>
      <c r="AF134" s="33">
        <v>0</v>
      </c>
      <c r="AG134" s="33">
        <v>0</v>
      </c>
      <c r="AH134" s="33">
        <v>0</v>
      </c>
      <c r="AI134" s="42">
        <v>0</v>
      </c>
      <c r="AJ134" s="42">
        <v>0</v>
      </c>
      <c r="AK134" s="7">
        <v>0</v>
      </c>
    </row>
    <row r="135" spans="1:38" ht="15">
      <c r="A135" s="16">
        <v>44835</v>
      </c>
      <c r="B135" s="7">
        <v>380</v>
      </c>
      <c r="C135" s="7">
        <v>163.75</v>
      </c>
      <c r="D135" s="7">
        <v>0</v>
      </c>
      <c r="E135" s="7">
        <v>112.5</v>
      </c>
      <c r="F135" s="7">
        <v>158.08000000000001</v>
      </c>
      <c r="G135" s="7">
        <v>89.58</v>
      </c>
      <c r="H135" s="33">
        <v>0</v>
      </c>
      <c r="I135" s="7">
        <v>90.25</v>
      </c>
      <c r="J135" s="7">
        <v>90.75</v>
      </c>
      <c r="K135" s="7">
        <v>89.58</v>
      </c>
      <c r="L135" s="7">
        <v>169.33</v>
      </c>
      <c r="M135" s="10">
        <v>0</v>
      </c>
      <c r="N135" s="7">
        <v>177.67</v>
      </c>
      <c r="O135" s="7">
        <v>312.33</v>
      </c>
      <c r="P135" s="7">
        <v>0</v>
      </c>
      <c r="Q135" s="7">
        <v>89.75</v>
      </c>
      <c r="R135" s="7">
        <v>160.5</v>
      </c>
      <c r="S135" s="7">
        <v>79</v>
      </c>
      <c r="T135" s="42">
        <v>0</v>
      </c>
      <c r="U135" s="7">
        <v>59.42</v>
      </c>
      <c r="V135" s="7">
        <v>173.42</v>
      </c>
      <c r="W135" s="7">
        <v>463.25</v>
      </c>
      <c r="X135" s="7">
        <v>464</v>
      </c>
      <c r="Y135" s="7">
        <v>452.42</v>
      </c>
      <c r="Z135" s="42">
        <v>0</v>
      </c>
      <c r="AA135" s="7">
        <v>0</v>
      </c>
      <c r="AB135" s="7">
        <v>0</v>
      </c>
      <c r="AC135" s="7">
        <v>0</v>
      </c>
      <c r="AD135" s="33">
        <v>0</v>
      </c>
      <c r="AE135" s="7">
        <v>46</v>
      </c>
      <c r="AF135" s="33">
        <v>0</v>
      </c>
      <c r="AG135" s="33">
        <v>0</v>
      </c>
      <c r="AH135" s="33">
        <v>0</v>
      </c>
      <c r="AI135" s="42">
        <v>0</v>
      </c>
      <c r="AJ135" s="42">
        <v>0</v>
      </c>
      <c r="AK135" s="7">
        <v>0</v>
      </c>
    </row>
    <row r="136" spans="1:38" ht="15">
      <c r="A136" s="16">
        <v>44866</v>
      </c>
      <c r="B136" s="25">
        <v>380</v>
      </c>
      <c r="C136" s="25">
        <v>163.75</v>
      </c>
      <c r="D136" s="7">
        <v>0</v>
      </c>
      <c r="E136" s="25">
        <v>112.5</v>
      </c>
      <c r="F136" s="25">
        <v>158.08000000000001</v>
      </c>
      <c r="G136" s="25">
        <v>89.58</v>
      </c>
      <c r="H136" s="33">
        <v>0</v>
      </c>
      <c r="I136" s="25">
        <v>90.25</v>
      </c>
      <c r="J136" s="25">
        <v>90.75</v>
      </c>
      <c r="K136" s="25">
        <v>89.58</v>
      </c>
      <c r="L136" s="25">
        <v>169.33</v>
      </c>
      <c r="M136" s="10">
        <v>0</v>
      </c>
      <c r="N136" s="25">
        <v>177.67</v>
      </c>
      <c r="O136" s="25">
        <v>312.33</v>
      </c>
      <c r="P136" s="7">
        <v>0</v>
      </c>
      <c r="Q136" s="25">
        <v>89.75</v>
      </c>
      <c r="R136" s="25">
        <v>160.5</v>
      </c>
      <c r="S136" s="25">
        <v>79</v>
      </c>
      <c r="T136" s="42">
        <v>0</v>
      </c>
      <c r="U136" s="25">
        <v>59.42</v>
      </c>
      <c r="V136" s="25">
        <v>173.42</v>
      </c>
      <c r="W136" s="25">
        <v>463.25</v>
      </c>
      <c r="X136" s="25">
        <v>464</v>
      </c>
      <c r="Y136" s="25">
        <v>452.42</v>
      </c>
      <c r="Z136" s="42">
        <v>0</v>
      </c>
      <c r="AA136" s="7">
        <v>0</v>
      </c>
      <c r="AB136" s="7">
        <v>0</v>
      </c>
      <c r="AC136" s="7">
        <v>0</v>
      </c>
      <c r="AD136" s="33">
        <v>0</v>
      </c>
      <c r="AE136" s="25">
        <v>46</v>
      </c>
      <c r="AF136" s="33">
        <v>0</v>
      </c>
      <c r="AG136" s="33">
        <v>0</v>
      </c>
      <c r="AH136" s="33">
        <v>0</v>
      </c>
      <c r="AI136" s="42">
        <v>0</v>
      </c>
      <c r="AJ136" s="42">
        <v>0</v>
      </c>
      <c r="AK136" s="7">
        <v>0</v>
      </c>
    </row>
    <row r="137" spans="1:38" ht="15">
      <c r="A137" s="16">
        <v>44896</v>
      </c>
      <c r="B137" s="7">
        <v>456</v>
      </c>
      <c r="C137" s="7">
        <v>196.5</v>
      </c>
      <c r="D137" s="7">
        <v>0</v>
      </c>
      <c r="E137" s="7">
        <v>135</v>
      </c>
      <c r="F137" s="7">
        <v>189.7</v>
      </c>
      <c r="G137" s="7">
        <v>107.5</v>
      </c>
      <c r="H137" s="33">
        <v>0</v>
      </c>
      <c r="I137" s="7">
        <v>108.3</v>
      </c>
      <c r="J137" s="7">
        <v>108.9</v>
      </c>
      <c r="K137" s="7">
        <v>107.5</v>
      </c>
      <c r="L137" s="7">
        <v>203.2</v>
      </c>
      <c r="M137" s="10">
        <v>0</v>
      </c>
      <c r="N137" s="7">
        <v>213.2</v>
      </c>
      <c r="O137" s="7">
        <v>374.8</v>
      </c>
      <c r="P137" s="7">
        <v>0</v>
      </c>
      <c r="Q137" s="7">
        <v>107.7</v>
      </c>
      <c r="R137" s="7">
        <v>192.6</v>
      </c>
      <c r="S137" s="7">
        <v>94.8</v>
      </c>
      <c r="T137" s="42">
        <v>0</v>
      </c>
      <c r="U137" s="7">
        <v>71.3</v>
      </c>
      <c r="V137" s="7">
        <v>208.1</v>
      </c>
      <c r="W137" s="7">
        <v>555.9</v>
      </c>
      <c r="X137" s="7">
        <v>556.79999999999995</v>
      </c>
      <c r="Y137" s="7">
        <v>542.9</v>
      </c>
      <c r="Z137" s="42">
        <v>0</v>
      </c>
      <c r="AA137" s="7">
        <v>0</v>
      </c>
      <c r="AB137" s="7">
        <v>0</v>
      </c>
      <c r="AC137" s="7">
        <v>0</v>
      </c>
      <c r="AD137" s="33">
        <v>0</v>
      </c>
      <c r="AE137" s="7">
        <v>55.2</v>
      </c>
      <c r="AF137" s="33">
        <v>0</v>
      </c>
      <c r="AG137" s="33">
        <v>0</v>
      </c>
      <c r="AH137" s="33">
        <v>0</v>
      </c>
      <c r="AI137" s="42">
        <v>0</v>
      </c>
      <c r="AJ137" s="42">
        <v>0</v>
      </c>
      <c r="AK137" s="7">
        <v>0</v>
      </c>
    </row>
    <row r="138" spans="1:38" ht="15">
      <c r="A138" s="16">
        <v>44927</v>
      </c>
      <c r="B138" s="25">
        <v>474</v>
      </c>
      <c r="C138" s="25">
        <v>196.6</v>
      </c>
      <c r="D138" s="7">
        <v>0</v>
      </c>
      <c r="E138" s="25">
        <v>186.6</v>
      </c>
      <c r="F138" s="25">
        <v>285.10000000000002</v>
      </c>
      <c r="G138" s="25">
        <v>107.3</v>
      </c>
      <c r="H138" s="33">
        <v>0</v>
      </c>
      <c r="I138" s="25">
        <v>110.4</v>
      </c>
      <c r="J138" s="25">
        <v>116.5</v>
      </c>
      <c r="K138" s="25">
        <v>107.5</v>
      </c>
      <c r="L138" s="25">
        <v>202.6</v>
      </c>
      <c r="M138" s="10">
        <v>0</v>
      </c>
      <c r="N138" s="25">
        <v>219.6</v>
      </c>
      <c r="O138" s="25">
        <v>389.6</v>
      </c>
      <c r="P138" s="7">
        <v>0</v>
      </c>
      <c r="Q138" s="25">
        <v>104.8</v>
      </c>
      <c r="R138" s="25">
        <v>185.6</v>
      </c>
      <c r="S138" s="25">
        <v>94.3</v>
      </c>
      <c r="T138" s="42">
        <v>0</v>
      </c>
      <c r="U138" s="25">
        <v>82.5</v>
      </c>
      <c r="V138" s="25">
        <v>399.9</v>
      </c>
      <c r="W138" s="25">
        <v>575.1</v>
      </c>
      <c r="X138" s="25">
        <v>577.1</v>
      </c>
      <c r="Y138" s="25">
        <v>562.1</v>
      </c>
      <c r="Z138" s="42">
        <v>0</v>
      </c>
      <c r="AA138" s="7">
        <v>0</v>
      </c>
      <c r="AB138" s="7">
        <v>0</v>
      </c>
      <c r="AC138" s="7">
        <v>0</v>
      </c>
      <c r="AD138" s="33">
        <v>0</v>
      </c>
      <c r="AE138" s="25">
        <v>94</v>
      </c>
      <c r="AF138" s="33">
        <v>0</v>
      </c>
      <c r="AG138" s="33">
        <v>0</v>
      </c>
      <c r="AH138" s="33">
        <v>0</v>
      </c>
      <c r="AI138" s="42">
        <v>0</v>
      </c>
      <c r="AJ138" s="42">
        <v>0</v>
      </c>
      <c r="AK138" s="7">
        <v>0</v>
      </c>
    </row>
    <row r="139" spans="1:38" ht="15">
      <c r="A139" s="16">
        <v>44958</v>
      </c>
      <c r="B139" s="7">
        <v>316</v>
      </c>
      <c r="C139" s="7">
        <v>131.07</v>
      </c>
      <c r="D139" s="7">
        <v>0</v>
      </c>
      <c r="E139" s="7">
        <v>124.4</v>
      </c>
      <c r="F139" s="7">
        <v>190.07</v>
      </c>
      <c r="G139" s="7">
        <v>71.53</v>
      </c>
      <c r="H139" s="33">
        <v>0</v>
      </c>
      <c r="I139" s="7">
        <v>73.599999999999994</v>
      </c>
      <c r="J139" s="7">
        <v>77.67</v>
      </c>
      <c r="K139" s="7">
        <v>71.67</v>
      </c>
      <c r="L139" s="7">
        <v>135.07</v>
      </c>
      <c r="M139" s="10">
        <v>0</v>
      </c>
      <c r="N139" s="7">
        <v>146.4</v>
      </c>
      <c r="O139" s="7">
        <v>259.73</v>
      </c>
      <c r="P139" s="7">
        <v>0</v>
      </c>
      <c r="Q139" s="7">
        <v>69.87</v>
      </c>
      <c r="R139" s="7">
        <v>123.73</v>
      </c>
      <c r="S139" s="7">
        <v>62.87</v>
      </c>
      <c r="T139" s="42">
        <v>0</v>
      </c>
      <c r="U139" s="7">
        <v>55</v>
      </c>
      <c r="V139" s="7">
        <v>266.60000000000002</v>
      </c>
      <c r="W139" s="7">
        <v>383.4</v>
      </c>
      <c r="X139" s="7">
        <v>384.73</v>
      </c>
      <c r="Y139" s="7">
        <v>374.73</v>
      </c>
      <c r="Z139" s="42">
        <v>0</v>
      </c>
      <c r="AA139" s="7">
        <v>0</v>
      </c>
      <c r="AB139" s="7">
        <v>0</v>
      </c>
      <c r="AC139" s="7">
        <v>0</v>
      </c>
      <c r="AD139" s="33">
        <v>0</v>
      </c>
      <c r="AE139" s="7">
        <v>62.67</v>
      </c>
      <c r="AF139" s="33">
        <v>0</v>
      </c>
      <c r="AG139" s="33">
        <v>0</v>
      </c>
      <c r="AH139" s="33">
        <v>0</v>
      </c>
      <c r="AI139" s="42">
        <v>0</v>
      </c>
      <c r="AJ139" s="42">
        <v>0</v>
      </c>
      <c r="AK139" s="7">
        <v>0</v>
      </c>
    </row>
    <row r="140" spans="1:38" ht="15">
      <c r="A140" s="16">
        <v>44986</v>
      </c>
      <c r="B140" s="25">
        <v>316</v>
      </c>
      <c r="C140" s="25">
        <v>131.07</v>
      </c>
      <c r="D140" s="7">
        <v>0</v>
      </c>
      <c r="E140" s="25">
        <v>124.4</v>
      </c>
      <c r="F140" s="25">
        <v>190.07</v>
      </c>
      <c r="G140" s="25">
        <v>71.53</v>
      </c>
      <c r="H140" s="33">
        <v>0</v>
      </c>
      <c r="I140" s="25">
        <v>73.599999999999994</v>
      </c>
      <c r="J140" s="25">
        <v>77.67</v>
      </c>
      <c r="K140" s="25">
        <v>71.67</v>
      </c>
      <c r="L140" s="25">
        <v>135.07</v>
      </c>
      <c r="M140" s="10">
        <v>0</v>
      </c>
      <c r="N140" s="25">
        <v>146.4</v>
      </c>
      <c r="O140" s="25">
        <v>259.73</v>
      </c>
      <c r="P140" s="7">
        <v>0</v>
      </c>
      <c r="Q140" s="25">
        <v>69.87</v>
      </c>
      <c r="R140" s="25">
        <v>123.73</v>
      </c>
      <c r="S140" s="25">
        <v>62.87</v>
      </c>
      <c r="T140" s="42">
        <v>0</v>
      </c>
      <c r="U140" s="25">
        <v>55</v>
      </c>
      <c r="V140" s="25">
        <v>266.60000000000002</v>
      </c>
      <c r="W140" s="25">
        <v>383.4</v>
      </c>
      <c r="X140" s="25">
        <v>384.73</v>
      </c>
      <c r="Y140" s="25">
        <v>374.73</v>
      </c>
      <c r="Z140" s="42">
        <v>0</v>
      </c>
      <c r="AA140" s="7">
        <v>0</v>
      </c>
      <c r="AB140" s="7">
        <v>0</v>
      </c>
      <c r="AC140" s="7">
        <v>0</v>
      </c>
      <c r="AD140" s="33">
        <v>0</v>
      </c>
      <c r="AE140" s="25">
        <v>62.67</v>
      </c>
      <c r="AF140" s="33">
        <v>0</v>
      </c>
      <c r="AG140" s="33">
        <v>0</v>
      </c>
      <c r="AH140" s="33">
        <v>0</v>
      </c>
      <c r="AI140" s="42">
        <v>0</v>
      </c>
      <c r="AJ140" s="42">
        <v>0</v>
      </c>
      <c r="AK140" s="7">
        <v>0</v>
      </c>
    </row>
    <row r="141" spans="1:38" ht="15">
      <c r="A141" s="16">
        <v>45017</v>
      </c>
      <c r="B141" s="7">
        <v>394.83</v>
      </c>
      <c r="C141" s="7">
        <v>166.58</v>
      </c>
      <c r="D141" s="7">
        <v>0</v>
      </c>
      <c r="E141" s="7">
        <v>155.33000000000001</v>
      </c>
      <c r="F141" s="7">
        <v>237.58</v>
      </c>
      <c r="G141" s="7">
        <v>88.92</v>
      </c>
      <c r="H141" s="33">
        <v>0</v>
      </c>
      <c r="I141" s="7">
        <v>92</v>
      </c>
      <c r="J141" s="7">
        <v>96.92</v>
      </c>
      <c r="K141" s="7">
        <v>153.25</v>
      </c>
      <c r="L141" s="7">
        <v>168.83</v>
      </c>
      <c r="M141" s="10">
        <v>0</v>
      </c>
      <c r="N141" s="7">
        <v>183</v>
      </c>
      <c r="O141" s="7">
        <v>324.67</v>
      </c>
      <c r="P141" s="7">
        <v>0</v>
      </c>
      <c r="Q141" s="7">
        <v>87.33</v>
      </c>
      <c r="R141" s="7">
        <v>154.5</v>
      </c>
      <c r="S141" s="7">
        <v>78.58</v>
      </c>
      <c r="T141" s="42">
        <v>0</v>
      </c>
      <c r="U141" s="7">
        <v>68.75</v>
      </c>
      <c r="V141" s="7">
        <v>332.75</v>
      </c>
      <c r="W141" s="7">
        <v>477.67</v>
      </c>
      <c r="X141" s="7">
        <v>479.92</v>
      </c>
      <c r="Y141" s="7">
        <v>466.92</v>
      </c>
      <c r="Z141" s="42">
        <v>0</v>
      </c>
      <c r="AA141" s="7">
        <v>0</v>
      </c>
      <c r="AB141" s="7">
        <v>0</v>
      </c>
      <c r="AC141" s="7">
        <v>0</v>
      </c>
      <c r="AD141" s="33">
        <v>0</v>
      </c>
      <c r="AE141" s="7">
        <v>78.33</v>
      </c>
      <c r="AF141" s="33">
        <v>0</v>
      </c>
      <c r="AG141" s="33">
        <v>0</v>
      </c>
      <c r="AH141" s="33">
        <v>0</v>
      </c>
      <c r="AI141" s="42">
        <v>0</v>
      </c>
      <c r="AJ141" s="42">
        <v>0</v>
      </c>
      <c r="AK141" s="7">
        <v>0</v>
      </c>
    </row>
    <row r="142" spans="1:38" ht="15">
      <c r="A142" s="16">
        <v>45047</v>
      </c>
      <c r="B142" s="25">
        <v>394.83</v>
      </c>
      <c r="C142" s="25">
        <v>166.58</v>
      </c>
      <c r="D142" s="7">
        <v>0</v>
      </c>
      <c r="E142" s="25">
        <v>155.33000000000001</v>
      </c>
      <c r="F142" s="25">
        <v>237.58</v>
      </c>
      <c r="G142" s="25">
        <v>88.92</v>
      </c>
      <c r="H142" s="33">
        <v>0</v>
      </c>
      <c r="I142" s="25">
        <v>92</v>
      </c>
      <c r="J142" s="25">
        <v>96.92</v>
      </c>
      <c r="K142" s="25">
        <v>153.25</v>
      </c>
      <c r="L142" s="25">
        <v>168.83</v>
      </c>
      <c r="M142" s="10">
        <v>0</v>
      </c>
      <c r="N142" s="25">
        <v>183</v>
      </c>
      <c r="O142" s="25">
        <v>324.67</v>
      </c>
      <c r="P142" s="7">
        <v>0</v>
      </c>
      <c r="Q142" s="25">
        <v>87.33</v>
      </c>
      <c r="R142" s="25">
        <v>154.5</v>
      </c>
      <c r="S142" s="25">
        <v>78.58</v>
      </c>
      <c r="T142" s="42">
        <v>0</v>
      </c>
      <c r="U142" s="25">
        <v>68.75</v>
      </c>
      <c r="V142" s="25">
        <v>332.75</v>
      </c>
      <c r="W142" s="25">
        <v>477.67</v>
      </c>
      <c r="X142" s="25">
        <v>479.92</v>
      </c>
      <c r="Y142" s="25">
        <v>466.92</v>
      </c>
      <c r="Z142" s="42">
        <v>0</v>
      </c>
      <c r="AA142" s="7">
        <v>0</v>
      </c>
      <c r="AB142" s="7">
        <v>0</v>
      </c>
      <c r="AC142" s="7">
        <v>0</v>
      </c>
      <c r="AD142" s="33">
        <v>0</v>
      </c>
      <c r="AE142" s="25">
        <v>78.33</v>
      </c>
      <c r="AF142" s="33">
        <v>0</v>
      </c>
      <c r="AG142" s="33">
        <v>0</v>
      </c>
      <c r="AH142" s="33">
        <v>0</v>
      </c>
      <c r="AI142" s="42">
        <v>0</v>
      </c>
      <c r="AJ142" s="42">
        <v>0</v>
      </c>
      <c r="AK142" s="7">
        <v>0</v>
      </c>
    </row>
    <row r="143" spans="1:38" ht="15">
      <c r="A143" s="16">
        <v>45078</v>
      </c>
      <c r="B143" s="7">
        <v>315.87</v>
      </c>
      <c r="C143" s="7">
        <v>133.27000000000001</v>
      </c>
      <c r="D143" s="7">
        <v>0</v>
      </c>
      <c r="E143" s="7">
        <v>124.27</v>
      </c>
      <c r="F143" s="7">
        <v>190.07</v>
      </c>
      <c r="G143" s="7">
        <v>71.13</v>
      </c>
      <c r="H143" s="33">
        <v>0</v>
      </c>
      <c r="I143" s="7">
        <v>73.599999999999994</v>
      </c>
      <c r="J143" s="7">
        <v>77.53</v>
      </c>
      <c r="K143" s="7">
        <v>122.6</v>
      </c>
      <c r="L143" s="7">
        <v>135.07</v>
      </c>
      <c r="M143" s="10">
        <v>0</v>
      </c>
      <c r="N143" s="7">
        <v>146.4</v>
      </c>
      <c r="O143" s="7">
        <v>259.73</v>
      </c>
      <c r="P143" s="7">
        <v>0</v>
      </c>
      <c r="Q143" s="7">
        <v>69.87</v>
      </c>
      <c r="R143" s="7">
        <v>123.6</v>
      </c>
      <c r="S143" s="7">
        <v>62.87</v>
      </c>
      <c r="T143" s="42">
        <v>0</v>
      </c>
      <c r="U143" s="7">
        <v>55</v>
      </c>
      <c r="V143" s="7">
        <v>266.2</v>
      </c>
      <c r="W143" s="7">
        <v>382.13</v>
      </c>
      <c r="X143" s="7">
        <v>383.93</v>
      </c>
      <c r="Y143" s="7">
        <v>373.53</v>
      </c>
      <c r="Z143" s="42">
        <v>0</v>
      </c>
      <c r="AA143" s="7">
        <v>0</v>
      </c>
      <c r="AB143" s="7">
        <v>0</v>
      </c>
      <c r="AC143" s="7">
        <v>0</v>
      </c>
      <c r="AD143" s="33">
        <v>0</v>
      </c>
      <c r="AE143" s="7">
        <v>62.67</v>
      </c>
      <c r="AF143" s="33">
        <v>0</v>
      </c>
      <c r="AG143" s="33">
        <v>0</v>
      </c>
      <c r="AH143" s="33">
        <v>0</v>
      </c>
      <c r="AI143" s="42">
        <v>0</v>
      </c>
      <c r="AJ143" s="42">
        <v>0</v>
      </c>
      <c r="AK143" s="7">
        <v>0</v>
      </c>
    </row>
    <row r="144" spans="1:38" ht="15">
      <c r="A144" s="16">
        <v>45108</v>
      </c>
      <c r="B144" s="25">
        <v>474</v>
      </c>
      <c r="C144" s="25">
        <v>196.6</v>
      </c>
      <c r="D144" s="7">
        <v>0</v>
      </c>
      <c r="E144" s="25">
        <v>186.8</v>
      </c>
      <c r="F144" s="25">
        <v>285.10000000000002</v>
      </c>
      <c r="G144" s="25">
        <v>107.3</v>
      </c>
      <c r="H144" s="33">
        <v>0</v>
      </c>
      <c r="I144" s="25">
        <v>113.7</v>
      </c>
      <c r="J144" s="25">
        <v>116.5</v>
      </c>
      <c r="K144" s="25">
        <v>107.5</v>
      </c>
      <c r="L144" s="25">
        <v>202.6</v>
      </c>
      <c r="M144" s="10">
        <v>0</v>
      </c>
      <c r="N144" s="25">
        <v>219.6</v>
      </c>
      <c r="O144" s="25">
        <v>389.6</v>
      </c>
      <c r="P144" s="7">
        <v>0</v>
      </c>
      <c r="Q144" s="25">
        <v>102.3</v>
      </c>
      <c r="R144" s="25">
        <v>185.6</v>
      </c>
      <c r="S144" s="25">
        <v>94.3</v>
      </c>
      <c r="T144" s="42">
        <v>0</v>
      </c>
      <c r="U144" s="25">
        <v>82.5</v>
      </c>
      <c r="V144" s="25">
        <v>399.9</v>
      </c>
      <c r="W144" s="25">
        <v>575.29999999999995</v>
      </c>
      <c r="X144" s="25">
        <v>577</v>
      </c>
      <c r="Y144" s="25">
        <v>562.6</v>
      </c>
      <c r="Z144" s="42">
        <v>0</v>
      </c>
      <c r="AA144" s="7">
        <v>0</v>
      </c>
      <c r="AB144" s="7">
        <v>0</v>
      </c>
      <c r="AC144" s="7">
        <v>0</v>
      </c>
      <c r="AD144" s="33">
        <v>0</v>
      </c>
      <c r="AE144" s="25">
        <v>93.6</v>
      </c>
      <c r="AF144" s="33">
        <v>0</v>
      </c>
      <c r="AG144" s="33">
        <v>0</v>
      </c>
      <c r="AH144" s="33">
        <v>0</v>
      </c>
      <c r="AI144" s="42">
        <v>0</v>
      </c>
      <c r="AJ144" s="42">
        <v>0</v>
      </c>
      <c r="AK144" s="7">
        <v>0</v>
      </c>
    </row>
    <row r="145" spans="1:37" ht="15">
      <c r="A145" s="16">
        <v>45139</v>
      </c>
      <c r="B145" s="7">
        <v>316</v>
      </c>
      <c r="C145" s="7">
        <v>131.07</v>
      </c>
      <c r="D145" s="7">
        <v>0</v>
      </c>
      <c r="E145" s="7">
        <v>124.53</v>
      </c>
      <c r="F145" s="7">
        <v>190.07</v>
      </c>
      <c r="G145" s="7">
        <v>71.53</v>
      </c>
      <c r="H145" s="33">
        <v>0</v>
      </c>
      <c r="I145" s="7">
        <v>75.8</v>
      </c>
      <c r="J145" s="7">
        <v>77.67</v>
      </c>
      <c r="K145" s="7">
        <v>71.67</v>
      </c>
      <c r="L145" s="7">
        <v>135.07</v>
      </c>
      <c r="M145" s="10">
        <v>0</v>
      </c>
      <c r="N145" s="7">
        <v>146.4</v>
      </c>
      <c r="O145" s="7">
        <v>259.73</v>
      </c>
      <c r="P145" s="7">
        <v>0</v>
      </c>
      <c r="Q145" s="7">
        <v>68.2</v>
      </c>
      <c r="R145" s="7">
        <v>123.73</v>
      </c>
      <c r="S145" s="7">
        <v>62.87</v>
      </c>
      <c r="T145" s="42">
        <v>0</v>
      </c>
      <c r="U145" s="7">
        <v>55</v>
      </c>
      <c r="V145" s="7">
        <v>266.60000000000002</v>
      </c>
      <c r="W145" s="7">
        <v>383.53</v>
      </c>
      <c r="X145" s="7">
        <v>384.67</v>
      </c>
      <c r="Y145" s="7">
        <v>375.07</v>
      </c>
      <c r="Z145" s="42">
        <v>0</v>
      </c>
      <c r="AA145" s="7">
        <v>0</v>
      </c>
      <c r="AB145" s="7">
        <v>0</v>
      </c>
      <c r="AC145" s="7">
        <v>0</v>
      </c>
      <c r="AD145" s="33">
        <v>0</v>
      </c>
      <c r="AE145" s="7">
        <v>62.4</v>
      </c>
      <c r="AF145" s="33">
        <v>0</v>
      </c>
      <c r="AG145" s="33">
        <v>0</v>
      </c>
      <c r="AH145" s="33">
        <v>0</v>
      </c>
      <c r="AI145" s="42">
        <v>0</v>
      </c>
      <c r="AJ145" s="42">
        <v>0</v>
      </c>
      <c r="AK145" s="7">
        <v>0</v>
      </c>
    </row>
    <row r="146" spans="1:37" ht="15">
      <c r="A146" s="16">
        <v>45170</v>
      </c>
      <c r="B146" s="25">
        <v>395</v>
      </c>
      <c r="C146" s="25">
        <v>163.83000000000001</v>
      </c>
      <c r="D146" s="7">
        <v>0</v>
      </c>
      <c r="E146" s="25">
        <v>155.66999999999999</v>
      </c>
      <c r="F146" s="25">
        <v>237.58</v>
      </c>
      <c r="G146" s="25">
        <v>89.42</v>
      </c>
      <c r="H146" s="33">
        <v>0</v>
      </c>
      <c r="I146" s="25">
        <v>94.75</v>
      </c>
      <c r="J146" s="25">
        <v>97.08</v>
      </c>
      <c r="K146" s="25">
        <v>89.58</v>
      </c>
      <c r="L146" s="25">
        <v>168.83</v>
      </c>
      <c r="M146" s="10">
        <v>0</v>
      </c>
      <c r="N146" s="25">
        <v>183</v>
      </c>
      <c r="O146" s="25">
        <v>324.67</v>
      </c>
      <c r="P146" s="7">
        <v>0</v>
      </c>
      <c r="Q146" s="25">
        <v>85.25</v>
      </c>
      <c r="R146" s="25">
        <v>154.66999999999999</v>
      </c>
      <c r="S146" s="25">
        <v>78.58</v>
      </c>
      <c r="T146" s="42">
        <v>0</v>
      </c>
      <c r="U146" s="25">
        <v>68.75</v>
      </c>
      <c r="V146" s="25">
        <v>333.25</v>
      </c>
      <c r="W146" s="25">
        <v>479.42</v>
      </c>
      <c r="X146" s="25">
        <v>480.83</v>
      </c>
      <c r="Y146" s="25">
        <v>468.83</v>
      </c>
      <c r="Z146" s="42">
        <v>0</v>
      </c>
      <c r="AA146" s="7">
        <v>0</v>
      </c>
      <c r="AB146" s="7">
        <v>0</v>
      </c>
      <c r="AC146" s="7">
        <v>0</v>
      </c>
      <c r="AD146" s="33">
        <v>0</v>
      </c>
      <c r="AE146" s="25">
        <v>78</v>
      </c>
      <c r="AF146" s="33">
        <v>0</v>
      </c>
      <c r="AG146" s="33">
        <v>0</v>
      </c>
      <c r="AH146" s="33">
        <v>0</v>
      </c>
      <c r="AI146" s="42">
        <v>0</v>
      </c>
      <c r="AJ146" s="42">
        <v>0</v>
      </c>
      <c r="AK146" s="7">
        <v>0</v>
      </c>
    </row>
    <row r="147" spans="1:37" ht="15">
      <c r="A147" s="16">
        <v>45200</v>
      </c>
      <c r="B147" s="7">
        <v>395</v>
      </c>
      <c r="C147" s="7">
        <v>163.83000000000001</v>
      </c>
      <c r="D147" s="7">
        <v>0</v>
      </c>
      <c r="E147" s="7">
        <v>155.5</v>
      </c>
      <c r="F147" s="7">
        <v>237.58</v>
      </c>
      <c r="G147" s="7">
        <v>89.42</v>
      </c>
      <c r="H147" s="33">
        <v>0</v>
      </c>
      <c r="I147" s="7">
        <v>92</v>
      </c>
      <c r="J147" s="7">
        <v>97.08</v>
      </c>
      <c r="K147" s="7">
        <v>89.58</v>
      </c>
      <c r="L147" s="7">
        <v>168.83</v>
      </c>
      <c r="M147" s="10">
        <v>0</v>
      </c>
      <c r="N147" s="7">
        <v>183</v>
      </c>
      <c r="O147" s="7">
        <v>324.67</v>
      </c>
      <c r="P147" s="7">
        <v>0</v>
      </c>
      <c r="Q147" s="7">
        <v>87.33</v>
      </c>
      <c r="R147" s="7">
        <v>154.66999999999999</v>
      </c>
      <c r="S147" s="7">
        <v>78.58</v>
      </c>
      <c r="T147" s="42">
        <v>0</v>
      </c>
      <c r="U147" s="7">
        <v>68.75</v>
      </c>
      <c r="V147" s="7">
        <v>333.25</v>
      </c>
      <c r="W147" s="7">
        <v>479.42</v>
      </c>
      <c r="X147" s="7">
        <v>480.92</v>
      </c>
      <c r="Y147" s="7">
        <v>468.42</v>
      </c>
      <c r="Z147" s="42">
        <v>0</v>
      </c>
      <c r="AA147" s="42">
        <v>0</v>
      </c>
      <c r="AB147" s="7">
        <v>0</v>
      </c>
      <c r="AC147" s="7">
        <v>0</v>
      </c>
      <c r="AD147" s="33">
        <v>0</v>
      </c>
      <c r="AE147" s="7">
        <v>78.33</v>
      </c>
      <c r="AF147" s="33">
        <v>0</v>
      </c>
      <c r="AG147" s="33">
        <v>0</v>
      </c>
      <c r="AH147" s="33">
        <v>0</v>
      </c>
      <c r="AI147" s="42">
        <v>0</v>
      </c>
      <c r="AJ147" s="42">
        <v>0</v>
      </c>
      <c r="AK147" s="7">
        <v>0</v>
      </c>
    </row>
    <row r="148" spans="1:37" ht="15">
      <c r="A148" s="16">
        <v>45231</v>
      </c>
      <c r="B148" s="25">
        <v>395</v>
      </c>
      <c r="C148" s="25">
        <v>163.83000000000001</v>
      </c>
      <c r="D148" s="7">
        <v>0</v>
      </c>
      <c r="E148" s="25">
        <v>155.5</v>
      </c>
      <c r="F148" s="25">
        <v>237.58</v>
      </c>
      <c r="G148" s="25">
        <v>89.42</v>
      </c>
      <c r="H148" s="33">
        <v>0</v>
      </c>
      <c r="I148" s="25">
        <v>92</v>
      </c>
      <c r="J148" s="25">
        <v>97.08</v>
      </c>
      <c r="K148" s="25">
        <v>89.58</v>
      </c>
      <c r="L148" s="25">
        <v>168.83</v>
      </c>
      <c r="M148" s="10">
        <v>0</v>
      </c>
      <c r="N148" s="25">
        <v>183</v>
      </c>
      <c r="O148" s="25">
        <v>324.67</v>
      </c>
      <c r="P148" s="7">
        <v>0</v>
      </c>
      <c r="Q148" s="25">
        <v>87.33</v>
      </c>
      <c r="R148" s="25">
        <v>154.66999999999999</v>
      </c>
      <c r="S148" s="25">
        <v>78.58</v>
      </c>
      <c r="T148" s="42">
        <v>0</v>
      </c>
      <c r="U148" s="25">
        <v>68.75</v>
      </c>
      <c r="V148" s="25">
        <v>333.25</v>
      </c>
      <c r="W148" s="25">
        <v>479.42</v>
      </c>
      <c r="X148" s="25">
        <v>480.92</v>
      </c>
      <c r="Y148" s="25">
        <v>468.42</v>
      </c>
      <c r="Z148" s="42">
        <v>0</v>
      </c>
      <c r="AA148" s="42">
        <v>0</v>
      </c>
      <c r="AB148" s="7">
        <v>0</v>
      </c>
      <c r="AC148" s="7">
        <v>0</v>
      </c>
      <c r="AD148" s="33">
        <v>0</v>
      </c>
      <c r="AE148" s="25">
        <v>78.33</v>
      </c>
      <c r="AF148" s="33">
        <v>0</v>
      </c>
      <c r="AG148" s="33">
        <v>0</v>
      </c>
      <c r="AH148" s="33">
        <v>0</v>
      </c>
      <c r="AI148" s="42">
        <v>0</v>
      </c>
      <c r="AJ148" s="42">
        <v>0</v>
      </c>
      <c r="AK148" s="7">
        <v>0</v>
      </c>
    </row>
    <row r="149" spans="1:37" ht="15">
      <c r="A149" s="16">
        <v>45261</v>
      </c>
      <c r="B149" s="7">
        <v>395</v>
      </c>
      <c r="C149" s="7">
        <v>163.83000000000001</v>
      </c>
      <c r="D149" s="7">
        <v>0</v>
      </c>
      <c r="E149" s="7">
        <v>155.5</v>
      </c>
      <c r="F149" s="7">
        <v>237.58</v>
      </c>
      <c r="G149" s="7">
        <v>89.42</v>
      </c>
      <c r="H149" s="33">
        <v>0</v>
      </c>
      <c r="I149" s="7">
        <v>92</v>
      </c>
      <c r="J149" s="7">
        <v>97.08</v>
      </c>
      <c r="K149" s="7">
        <v>89.58</v>
      </c>
      <c r="L149" s="7">
        <v>168.83</v>
      </c>
      <c r="M149" s="10">
        <v>0</v>
      </c>
      <c r="N149" s="7">
        <v>183</v>
      </c>
      <c r="O149" s="7">
        <v>324.67</v>
      </c>
      <c r="P149" s="7">
        <v>0</v>
      </c>
      <c r="Q149" s="7">
        <v>87.33</v>
      </c>
      <c r="R149" s="7">
        <v>154.66999999999999</v>
      </c>
      <c r="S149" s="7">
        <v>78.58</v>
      </c>
      <c r="T149" s="42">
        <v>0</v>
      </c>
      <c r="U149" s="7">
        <v>68.75</v>
      </c>
      <c r="V149" s="7">
        <v>333.25</v>
      </c>
      <c r="W149" s="7">
        <v>479.25</v>
      </c>
      <c r="X149" s="7">
        <v>480.92</v>
      </c>
      <c r="Y149" s="7">
        <v>468.42</v>
      </c>
      <c r="Z149" s="42">
        <v>0</v>
      </c>
      <c r="AA149" s="42">
        <v>0</v>
      </c>
      <c r="AB149" s="7">
        <v>0</v>
      </c>
      <c r="AC149" s="7">
        <v>0</v>
      </c>
      <c r="AD149" s="33">
        <v>0</v>
      </c>
      <c r="AE149" s="7">
        <v>78.33</v>
      </c>
      <c r="AF149" s="33">
        <v>0</v>
      </c>
      <c r="AG149" s="33">
        <v>0</v>
      </c>
      <c r="AH149" s="33">
        <v>0</v>
      </c>
      <c r="AI149" s="42">
        <v>0</v>
      </c>
      <c r="AJ149" s="42">
        <v>0</v>
      </c>
      <c r="AK149" s="7">
        <v>0</v>
      </c>
    </row>
    <row r="150" spans="1:37" ht="15">
      <c r="A150" s="16">
        <v>45292</v>
      </c>
      <c r="B150" s="25">
        <v>394.83</v>
      </c>
      <c r="C150" s="25">
        <v>173.25</v>
      </c>
      <c r="D150" s="7">
        <v>0</v>
      </c>
      <c r="E150" s="25">
        <v>175.33</v>
      </c>
      <c r="F150" s="25">
        <v>242.67</v>
      </c>
      <c r="G150" s="25">
        <v>147.66999999999999</v>
      </c>
      <c r="H150" s="33">
        <v>0</v>
      </c>
      <c r="I150" s="25">
        <v>92</v>
      </c>
      <c r="J150" s="25">
        <v>96.92</v>
      </c>
      <c r="K150" s="25">
        <v>152.41999999999999</v>
      </c>
      <c r="L150" s="25">
        <v>168.83</v>
      </c>
      <c r="M150" s="10">
        <v>0</v>
      </c>
      <c r="N150" s="25">
        <v>183.42</v>
      </c>
      <c r="O150" s="25">
        <v>324.67</v>
      </c>
      <c r="P150" s="7">
        <v>0</v>
      </c>
      <c r="Q150" s="25">
        <v>87.33</v>
      </c>
      <c r="R150" s="25">
        <v>154.5</v>
      </c>
      <c r="S150" s="25">
        <v>78.58</v>
      </c>
      <c r="T150" s="42">
        <v>0</v>
      </c>
      <c r="U150" s="25">
        <v>81.58</v>
      </c>
      <c r="V150" s="25">
        <v>332.5</v>
      </c>
      <c r="W150" s="25">
        <v>478.92</v>
      </c>
      <c r="X150" s="25">
        <v>480.5</v>
      </c>
      <c r="Y150" s="25">
        <v>467</v>
      </c>
      <c r="Z150" s="42">
        <v>0</v>
      </c>
      <c r="AA150" s="42">
        <v>0</v>
      </c>
      <c r="AB150" s="7">
        <v>0</v>
      </c>
      <c r="AC150" s="7">
        <v>0</v>
      </c>
      <c r="AD150" s="7">
        <v>124.58</v>
      </c>
      <c r="AE150" s="7">
        <v>78.33</v>
      </c>
      <c r="AF150" s="25">
        <v>241.25</v>
      </c>
      <c r="AG150" s="33">
        <v>0</v>
      </c>
      <c r="AH150" s="33">
        <v>0</v>
      </c>
      <c r="AI150" s="42">
        <v>0</v>
      </c>
      <c r="AJ150" s="42">
        <v>0</v>
      </c>
      <c r="AK150" s="7">
        <v>0</v>
      </c>
    </row>
    <row r="151" spans="1:37" ht="15">
      <c r="A151" s="16">
        <v>45323</v>
      </c>
      <c r="B151" s="7">
        <v>315.87</v>
      </c>
      <c r="C151" s="7">
        <v>138.6</v>
      </c>
      <c r="D151" s="7">
        <v>0</v>
      </c>
      <c r="E151" s="7">
        <v>140.27000000000001</v>
      </c>
      <c r="F151" s="7">
        <v>194.13</v>
      </c>
      <c r="G151" s="7">
        <v>118.13</v>
      </c>
      <c r="H151" s="33">
        <v>0</v>
      </c>
      <c r="I151" s="7">
        <v>73.599999999999994</v>
      </c>
      <c r="J151" s="7">
        <v>77.53</v>
      </c>
      <c r="K151" s="7">
        <v>121.93</v>
      </c>
      <c r="L151" s="7">
        <v>135.07</v>
      </c>
      <c r="M151" s="10">
        <v>0</v>
      </c>
      <c r="N151" s="7">
        <v>146.72999999999999</v>
      </c>
      <c r="O151" s="7">
        <v>259.73</v>
      </c>
      <c r="P151" s="7">
        <v>0</v>
      </c>
      <c r="Q151" s="7">
        <v>69.87</v>
      </c>
      <c r="R151" s="7">
        <v>123.6</v>
      </c>
      <c r="S151" s="7">
        <v>62.87</v>
      </c>
      <c r="T151" s="42">
        <v>0</v>
      </c>
      <c r="U151" s="7">
        <v>65.27</v>
      </c>
      <c r="V151" s="7">
        <v>266</v>
      </c>
      <c r="W151" s="7">
        <v>383.13</v>
      </c>
      <c r="X151" s="7">
        <v>384.4</v>
      </c>
      <c r="Y151" s="7">
        <v>373.6</v>
      </c>
      <c r="Z151" s="42">
        <v>0</v>
      </c>
      <c r="AA151" s="42">
        <v>0</v>
      </c>
      <c r="AB151" s="7">
        <v>0</v>
      </c>
      <c r="AC151" s="7">
        <v>0</v>
      </c>
      <c r="AD151" s="25">
        <v>99.67</v>
      </c>
      <c r="AE151" s="25">
        <v>62.67</v>
      </c>
      <c r="AF151" s="7">
        <v>193</v>
      </c>
      <c r="AG151" s="33">
        <v>0</v>
      </c>
      <c r="AH151" s="33">
        <v>0</v>
      </c>
      <c r="AI151" s="42">
        <v>0</v>
      </c>
      <c r="AJ151" s="42">
        <v>0</v>
      </c>
      <c r="AK151" s="7">
        <v>0</v>
      </c>
    </row>
    <row r="152" spans="1:37" ht="15">
      <c r="A152" s="16">
        <v>45352</v>
      </c>
      <c r="B152" s="25">
        <v>394.83</v>
      </c>
      <c r="C152" s="25">
        <v>173.25</v>
      </c>
      <c r="D152" s="7">
        <v>0</v>
      </c>
      <c r="E152" s="25">
        <v>175.33</v>
      </c>
      <c r="F152" s="25">
        <v>242.67</v>
      </c>
      <c r="G152" s="25">
        <v>147.66999999999999</v>
      </c>
      <c r="H152" s="33">
        <v>0</v>
      </c>
      <c r="I152" s="25">
        <v>116.65</v>
      </c>
      <c r="J152" s="25">
        <v>96.92</v>
      </c>
      <c r="K152" s="25">
        <v>152.4</v>
      </c>
      <c r="L152" s="25">
        <v>168.83</v>
      </c>
      <c r="M152" s="10">
        <v>0</v>
      </c>
      <c r="N152" s="25">
        <v>181.95</v>
      </c>
      <c r="O152" s="25">
        <v>324.67</v>
      </c>
      <c r="P152" s="7">
        <v>0</v>
      </c>
      <c r="Q152" s="25">
        <v>87.68</v>
      </c>
      <c r="R152" s="25">
        <v>154.5</v>
      </c>
      <c r="S152" s="25">
        <v>78.58</v>
      </c>
      <c r="T152" s="42">
        <v>0</v>
      </c>
      <c r="U152" s="25">
        <v>83.05</v>
      </c>
      <c r="V152" s="25">
        <v>332.5</v>
      </c>
      <c r="W152" s="25">
        <v>478.92</v>
      </c>
      <c r="X152" s="25">
        <v>480.5</v>
      </c>
      <c r="Y152" s="25">
        <v>467</v>
      </c>
      <c r="Z152" s="42">
        <v>0</v>
      </c>
      <c r="AA152" s="42">
        <v>0</v>
      </c>
      <c r="AB152" s="25">
        <v>25.4</v>
      </c>
      <c r="AC152" s="7">
        <v>0</v>
      </c>
      <c r="AD152" s="7">
        <v>150.83000000000001</v>
      </c>
      <c r="AE152" s="7">
        <v>78.33</v>
      </c>
      <c r="AF152" s="25">
        <v>259.63</v>
      </c>
      <c r="AG152" s="33">
        <v>0</v>
      </c>
      <c r="AH152" s="33">
        <v>0</v>
      </c>
      <c r="AI152" s="42">
        <v>0</v>
      </c>
      <c r="AJ152" s="42">
        <v>0</v>
      </c>
      <c r="AK152" s="7">
        <v>0</v>
      </c>
    </row>
    <row r="153" spans="1:37" ht="15">
      <c r="A153" s="16">
        <v>45383</v>
      </c>
      <c r="B153" s="7">
        <v>315.87</v>
      </c>
      <c r="C153" s="7">
        <v>138.6</v>
      </c>
      <c r="D153" s="7">
        <v>0</v>
      </c>
      <c r="E153" s="7">
        <v>140.27000000000001</v>
      </c>
      <c r="F153" s="7">
        <v>194.13</v>
      </c>
      <c r="G153" s="7">
        <v>118.13</v>
      </c>
      <c r="H153" s="33">
        <v>0</v>
      </c>
      <c r="I153" s="7">
        <v>172.2</v>
      </c>
      <c r="J153" s="7">
        <v>77.53</v>
      </c>
      <c r="K153" s="7">
        <v>121.87</v>
      </c>
      <c r="L153" s="7">
        <v>135.07</v>
      </c>
      <c r="M153" s="10">
        <v>0</v>
      </c>
      <c r="N153" s="7">
        <v>140.87</v>
      </c>
      <c r="O153" s="7">
        <v>259.73</v>
      </c>
      <c r="P153" s="7">
        <v>0</v>
      </c>
      <c r="Q153" s="7">
        <v>71.27</v>
      </c>
      <c r="R153" s="7">
        <v>123.6</v>
      </c>
      <c r="S153" s="7">
        <v>62.87</v>
      </c>
      <c r="T153" s="42">
        <v>0</v>
      </c>
      <c r="U153" s="7">
        <v>71.13</v>
      </c>
      <c r="V153" s="7">
        <v>266</v>
      </c>
      <c r="W153" s="7">
        <v>383.13</v>
      </c>
      <c r="X153" s="7">
        <v>384.4</v>
      </c>
      <c r="Y153" s="7">
        <v>373.6</v>
      </c>
      <c r="Z153" s="42">
        <v>0</v>
      </c>
      <c r="AA153" s="42">
        <v>0</v>
      </c>
      <c r="AB153" s="7">
        <v>101.6</v>
      </c>
      <c r="AC153" s="7">
        <v>0</v>
      </c>
      <c r="AD153" s="25">
        <v>204.67</v>
      </c>
      <c r="AE153" s="25">
        <v>62.67</v>
      </c>
      <c r="AF153" s="7">
        <v>266.52999999999997</v>
      </c>
      <c r="AG153" s="33">
        <v>0</v>
      </c>
      <c r="AH153" s="33">
        <v>0</v>
      </c>
      <c r="AI153" s="42">
        <v>0</v>
      </c>
      <c r="AJ153" s="42">
        <v>0</v>
      </c>
      <c r="AK153" s="7">
        <v>0</v>
      </c>
    </row>
    <row r="154" spans="1:37" ht="15">
      <c r="A154" s="16">
        <v>45413</v>
      </c>
      <c r="B154" s="25">
        <v>394.83</v>
      </c>
      <c r="C154" s="25">
        <v>173.25</v>
      </c>
      <c r="D154" s="7">
        <v>0</v>
      </c>
      <c r="E154" s="25">
        <v>175.33</v>
      </c>
      <c r="F154" s="25">
        <v>242.67</v>
      </c>
      <c r="G154" s="25">
        <v>147.66999999999999</v>
      </c>
      <c r="H154" s="33">
        <v>0</v>
      </c>
      <c r="I154" s="25">
        <v>215.25</v>
      </c>
      <c r="J154" s="25">
        <v>96.92</v>
      </c>
      <c r="K154" s="25">
        <v>152.33000000000001</v>
      </c>
      <c r="L154" s="25">
        <v>168.83</v>
      </c>
      <c r="M154" s="10">
        <v>0</v>
      </c>
      <c r="N154" s="25">
        <v>176.08</v>
      </c>
      <c r="O154" s="25">
        <v>324.67</v>
      </c>
      <c r="P154" s="7">
        <v>0</v>
      </c>
      <c r="Q154" s="25">
        <v>89.08</v>
      </c>
      <c r="R154" s="25">
        <v>154.5</v>
      </c>
      <c r="S154" s="25">
        <v>78.58</v>
      </c>
      <c r="T154" s="42">
        <v>0</v>
      </c>
      <c r="U154" s="25">
        <v>88.92</v>
      </c>
      <c r="V154" s="25">
        <v>332.5</v>
      </c>
      <c r="W154" s="25">
        <v>478.92</v>
      </c>
      <c r="X154" s="25">
        <v>480.5</v>
      </c>
      <c r="Y154" s="25">
        <v>467</v>
      </c>
      <c r="Z154" s="42">
        <v>0</v>
      </c>
      <c r="AA154" s="42">
        <v>0</v>
      </c>
      <c r="AB154" s="25">
        <v>127</v>
      </c>
      <c r="AC154" s="7">
        <v>0</v>
      </c>
      <c r="AD154" s="7">
        <v>255.83</v>
      </c>
      <c r="AE154" s="7">
        <v>78.33</v>
      </c>
      <c r="AF154" s="25">
        <v>333.17</v>
      </c>
      <c r="AG154" s="33">
        <v>0</v>
      </c>
      <c r="AH154" s="33">
        <v>0</v>
      </c>
      <c r="AI154" s="42">
        <v>0</v>
      </c>
      <c r="AJ154" s="42">
        <v>0</v>
      </c>
      <c r="AK154" s="7">
        <v>0</v>
      </c>
    </row>
    <row r="155" spans="1:37" ht="15">
      <c r="A155" s="16">
        <v>45444</v>
      </c>
      <c r="B155" s="7">
        <v>394.83</v>
      </c>
      <c r="C155" s="7">
        <v>173.25</v>
      </c>
      <c r="D155" s="7">
        <v>0</v>
      </c>
      <c r="E155" s="7">
        <v>175.33</v>
      </c>
      <c r="F155" s="7">
        <v>242.67</v>
      </c>
      <c r="G155" s="7">
        <v>147.66999999999999</v>
      </c>
      <c r="H155" s="33">
        <v>0</v>
      </c>
      <c r="I155" s="7">
        <v>215.25</v>
      </c>
      <c r="J155" s="7">
        <v>96.92</v>
      </c>
      <c r="K155" s="7">
        <v>152.33000000000001</v>
      </c>
      <c r="L155" s="7">
        <v>168.83</v>
      </c>
      <c r="M155" s="10">
        <v>0</v>
      </c>
      <c r="N155" s="7">
        <v>176.08</v>
      </c>
      <c r="O155" s="7">
        <v>324.67</v>
      </c>
      <c r="P155" s="7">
        <v>0</v>
      </c>
      <c r="Q155" s="7">
        <v>89.08</v>
      </c>
      <c r="R155" s="7">
        <v>154.5</v>
      </c>
      <c r="S155" s="7">
        <v>78.58</v>
      </c>
      <c r="T155" s="42">
        <v>0</v>
      </c>
      <c r="U155" s="7">
        <v>88.92</v>
      </c>
      <c r="V155" s="7">
        <v>332.5</v>
      </c>
      <c r="W155" s="7">
        <v>478.92</v>
      </c>
      <c r="X155" s="7">
        <v>480.5</v>
      </c>
      <c r="Y155" s="7">
        <v>467</v>
      </c>
      <c r="Z155" s="42">
        <v>0</v>
      </c>
      <c r="AA155" s="42">
        <v>0</v>
      </c>
      <c r="AB155" s="7">
        <v>127</v>
      </c>
      <c r="AC155" s="7">
        <v>0</v>
      </c>
      <c r="AD155" s="25">
        <v>255.83</v>
      </c>
      <c r="AE155" s="25">
        <v>78.33</v>
      </c>
      <c r="AF155" s="7">
        <v>333.17</v>
      </c>
      <c r="AG155" s="33">
        <v>0</v>
      </c>
      <c r="AH155" s="33">
        <v>0</v>
      </c>
      <c r="AI155" s="42">
        <v>0</v>
      </c>
      <c r="AJ155" s="42">
        <v>0</v>
      </c>
      <c r="AK155" s="7">
        <v>0</v>
      </c>
    </row>
    <row r="156" spans="1:37" ht="15">
      <c r="A156" s="16">
        <v>45474</v>
      </c>
      <c r="B156" s="25">
        <v>473.8</v>
      </c>
      <c r="C156" s="25">
        <v>199.9</v>
      </c>
      <c r="D156" s="7">
        <v>0</v>
      </c>
      <c r="E156" s="25">
        <v>186.4</v>
      </c>
      <c r="F156" s="25">
        <v>285.10000000000002</v>
      </c>
      <c r="G156" s="25">
        <v>106.7</v>
      </c>
      <c r="H156" s="33">
        <v>0</v>
      </c>
      <c r="I156" s="25">
        <v>110.4</v>
      </c>
      <c r="J156" s="25">
        <v>116.3</v>
      </c>
      <c r="K156" s="25">
        <v>183.9</v>
      </c>
      <c r="L156" s="25">
        <v>202.6</v>
      </c>
      <c r="M156" s="10">
        <v>0</v>
      </c>
      <c r="N156" s="25">
        <v>219.6</v>
      </c>
      <c r="O156" s="25">
        <v>389.6</v>
      </c>
      <c r="P156" s="7">
        <v>0</v>
      </c>
      <c r="Q156" s="25">
        <v>104.8</v>
      </c>
      <c r="R156" s="25">
        <v>185.4</v>
      </c>
      <c r="S156" s="25">
        <v>94.3</v>
      </c>
      <c r="T156" s="42">
        <v>0</v>
      </c>
      <c r="U156" s="25">
        <v>82.5</v>
      </c>
      <c r="V156" s="25">
        <v>399.3</v>
      </c>
      <c r="W156" s="25">
        <v>573.20000000000005</v>
      </c>
      <c r="X156" s="25">
        <v>575.9</v>
      </c>
      <c r="Y156" s="25">
        <v>560.29999999999995</v>
      </c>
      <c r="Z156" s="42">
        <v>0</v>
      </c>
      <c r="AA156" s="42">
        <v>0</v>
      </c>
      <c r="AB156" s="7">
        <v>0</v>
      </c>
      <c r="AC156" s="7">
        <v>0</v>
      </c>
      <c r="AD156" s="33">
        <v>0</v>
      </c>
      <c r="AE156" s="7">
        <v>94</v>
      </c>
      <c r="AF156" s="33">
        <v>0</v>
      </c>
      <c r="AG156" s="33">
        <v>0</v>
      </c>
      <c r="AH156" s="33">
        <v>0</v>
      </c>
      <c r="AI156" s="42">
        <v>0</v>
      </c>
      <c r="AJ156" s="42">
        <v>0</v>
      </c>
      <c r="AK156" s="7">
        <v>0</v>
      </c>
    </row>
    <row r="157" spans="1:37" ht="15">
      <c r="A157" s="16">
        <v>45505</v>
      </c>
      <c r="B157" s="7">
        <v>315.87</v>
      </c>
      <c r="C157" s="7">
        <v>133.27000000000001</v>
      </c>
      <c r="D157" s="7">
        <v>0</v>
      </c>
      <c r="E157" s="7">
        <v>124.27</v>
      </c>
      <c r="F157" s="7">
        <v>190.07</v>
      </c>
      <c r="G157" s="7">
        <v>71.13</v>
      </c>
      <c r="H157" s="33">
        <v>0</v>
      </c>
      <c r="I157" s="7">
        <v>73.599999999999994</v>
      </c>
      <c r="J157" s="7">
        <v>77.53</v>
      </c>
      <c r="K157" s="7">
        <v>122.6</v>
      </c>
      <c r="L157" s="7">
        <v>135.07</v>
      </c>
      <c r="M157" s="10">
        <v>0</v>
      </c>
      <c r="N157" s="7">
        <v>146.4</v>
      </c>
      <c r="O157" s="7">
        <v>259.73</v>
      </c>
      <c r="P157" s="7">
        <v>0</v>
      </c>
      <c r="Q157" s="7">
        <v>69.87</v>
      </c>
      <c r="R157" s="7">
        <v>123.6</v>
      </c>
      <c r="S157" s="7">
        <v>62.87</v>
      </c>
      <c r="T157" s="42">
        <v>0</v>
      </c>
      <c r="U157" s="7">
        <v>55</v>
      </c>
      <c r="V157" s="7">
        <v>266.2</v>
      </c>
      <c r="W157" s="7">
        <v>382.13</v>
      </c>
      <c r="X157" s="7">
        <v>383.93</v>
      </c>
      <c r="Y157" s="7">
        <v>373.53</v>
      </c>
      <c r="Z157" s="42">
        <v>0</v>
      </c>
      <c r="AA157" s="42">
        <v>0</v>
      </c>
      <c r="AB157" s="7">
        <v>0</v>
      </c>
      <c r="AC157" s="7">
        <v>0</v>
      </c>
      <c r="AD157" s="33">
        <v>0</v>
      </c>
      <c r="AE157" s="25">
        <v>62.67</v>
      </c>
      <c r="AF157" s="33">
        <v>0</v>
      </c>
      <c r="AG157" s="33">
        <v>0</v>
      </c>
      <c r="AH157" s="33">
        <v>0</v>
      </c>
      <c r="AI157" s="42">
        <v>0</v>
      </c>
      <c r="AJ157" s="42">
        <v>0</v>
      </c>
      <c r="AK157" s="7">
        <v>0</v>
      </c>
    </row>
    <row r="158" spans="1:37" ht="15">
      <c r="A158" s="16">
        <v>45536</v>
      </c>
      <c r="B158" s="25">
        <v>394.83</v>
      </c>
      <c r="C158" s="25">
        <v>166.58</v>
      </c>
      <c r="D158" s="7">
        <v>0</v>
      </c>
      <c r="E158" s="25">
        <v>155.33000000000001</v>
      </c>
      <c r="F158" s="25">
        <v>237.58</v>
      </c>
      <c r="G158" s="25">
        <v>88.92</v>
      </c>
      <c r="H158" s="33">
        <v>0</v>
      </c>
      <c r="I158" s="25">
        <v>92</v>
      </c>
      <c r="J158" s="25">
        <v>96.92</v>
      </c>
      <c r="K158" s="25">
        <v>153.25</v>
      </c>
      <c r="L158" s="25">
        <v>168.83</v>
      </c>
      <c r="M158" s="10">
        <v>0</v>
      </c>
      <c r="N158" s="25">
        <v>183</v>
      </c>
      <c r="O158" s="25">
        <v>324.67</v>
      </c>
      <c r="P158" s="7">
        <v>0</v>
      </c>
      <c r="Q158" s="25">
        <v>87.33</v>
      </c>
      <c r="R158" s="25">
        <v>154.5</v>
      </c>
      <c r="S158" s="25">
        <v>78.58</v>
      </c>
      <c r="T158" s="42">
        <v>0</v>
      </c>
      <c r="U158" s="25">
        <v>68.75</v>
      </c>
      <c r="V158" s="25">
        <v>332.75</v>
      </c>
      <c r="W158" s="25">
        <v>477.67</v>
      </c>
      <c r="X158" s="25">
        <v>479.92</v>
      </c>
      <c r="Y158" s="25">
        <v>466.92</v>
      </c>
      <c r="Z158" s="42">
        <v>0</v>
      </c>
      <c r="AA158" s="42">
        <v>0</v>
      </c>
      <c r="AB158" s="7">
        <v>0</v>
      </c>
      <c r="AC158" s="7">
        <v>0</v>
      </c>
      <c r="AD158" s="33">
        <v>0</v>
      </c>
      <c r="AE158" s="7">
        <v>78.33</v>
      </c>
      <c r="AF158" s="33">
        <v>0</v>
      </c>
      <c r="AG158" s="33">
        <v>0</v>
      </c>
      <c r="AH158" s="33">
        <v>0</v>
      </c>
      <c r="AI158" s="42">
        <v>0</v>
      </c>
      <c r="AJ158" s="42">
        <v>0</v>
      </c>
      <c r="AK158" s="7">
        <v>0</v>
      </c>
    </row>
    <row r="159" spans="1:37" ht="15">
      <c r="A159" s="16">
        <v>45566</v>
      </c>
      <c r="B159" s="7">
        <v>394.83</v>
      </c>
      <c r="C159" s="7">
        <v>173.25</v>
      </c>
      <c r="D159" s="7">
        <v>0</v>
      </c>
      <c r="E159" s="7">
        <v>175.33</v>
      </c>
      <c r="F159" s="7">
        <v>242.67</v>
      </c>
      <c r="G159" s="7">
        <v>147.66999999999999</v>
      </c>
      <c r="H159" s="33">
        <v>0</v>
      </c>
      <c r="I159" s="7">
        <v>92</v>
      </c>
      <c r="J159" s="7">
        <v>96.92</v>
      </c>
      <c r="K159" s="7">
        <v>152.41999999999999</v>
      </c>
      <c r="L159" s="7">
        <v>168.83</v>
      </c>
      <c r="M159" s="10">
        <v>0</v>
      </c>
      <c r="N159" s="7">
        <v>183.42</v>
      </c>
      <c r="O159" s="7">
        <v>324.67</v>
      </c>
      <c r="P159" s="7">
        <v>0</v>
      </c>
      <c r="Q159" s="7">
        <v>87.33</v>
      </c>
      <c r="R159" s="7">
        <v>154.5</v>
      </c>
      <c r="S159" s="7">
        <v>78.58</v>
      </c>
      <c r="T159" s="42">
        <v>0</v>
      </c>
      <c r="U159" s="7">
        <v>81.58</v>
      </c>
      <c r="V159" s="7">
        <v>332.5</v>
      </c>
      <c r="W159" s="7">
        <v>478.92</v>
      </c>
      <c r="X159" s="7">
        <v>480.5</v>
      </c>
      <c r="Y159" s="7">
        <v>467</v>
      </c>
      <c r="Z159" s="42">
        <v>0</v>
      </c>
      <c r="AA159" s="42">
        <v>0</v>
      </c>
      <c r="AB159" s="7">
        <v>0</v>
      </c>
      <c r="AC159" s="7">
        <v>0</v>
      </c>
      <c r="AD159" s="25">
        <v>124.58</v>
      </c>
      <c r="AE159" s="25">
        <v>78.33</v>
      </c>
      <c r="AF159" s="7">
        <v>241.25</v>
      </c>
      <c r="AG159" s="33">
        <v>0</v>
      </c>
      <c r="AH159" s="33">
        <v>0</v>
      </c>
      <c r="AI159" s="42">
        <v>0</v>
      </c>
      <c r="AJ159" s="42">
        <v>0</v>
      </c>
      <c r="AK159" s="7">
        <v>0</v>
      </c>
    </row>
    <row r="160" spans="1:37" ht="15">
      <c r="A160" s="16">
        <v>45597</v>
      </c>
      <c r="B160" s="25">
        <v>394.83</v>
      </c>
      <c r="C160" s="25">
        <v>173.25</v>
      </c>
      <c r="D160" s="7">
        <v>0</v>
      </c>
      <c r="E160" s="25">
        <v>175.33</v>
      </c>
      <c r="F160" s="25">
        <v>242.67</v>
      </c>
      <c r="G160" s="25">
        <v>147.66999999999999</v>
      </c>
      <c r="H160" s="33">
        <v>0</v>
      </c>
      <c r="I160" s="25">
        <v>92</v>
      </c>
      <c r="J160" s="25">
        <v>96.92</v>
      </c>
      <c r="K160" s="25">
        <v>152.41999999999999</v>
      </c>
      <c r="L160" s="25">
        <v>168.83</v>
      </c>
      <c r="M160" s="10">
        <v>0</v>
      </c>
      <c r="N160" s="25">
        <v>183.42</v>
      </c>
      <c r="O160" s="25">
        <v>324.67</v>
      </c>
      <c r="P160" s="7">
        <v>0</v>
      </c>
      <c r="Q160" s="25">
        <v>87.33</v>
      </c>
      <c r="R160" s="25">
        <v>154.5</v>
      </c>
      <c r="S160" s="25">
        <v>78.58</v>
      </c>
      <c r="T160" s="42">
        <v>0</v>
      </c>
      <c r="U160" s="25">
        <v>81.58</v>
      </c>
      <c r="V160" s="25">
        <v>332.5</v>
      </c>
      <c r="W160" s="25">
        <v>478.92</v>
      </c>
      <c r="X160" s="25">
        <v>480.5</v>
      </c>
      <c r="Y160" s="25">
        <v>467</v>
      </c>
      <c r="Z160" s="42">
        <v>0</v>
      </c>
      <c r="AA160" s="42">
        <v>0</v>
      </c>
      <c r="AB160" s="7">
        <v>0</v>
      </c>
      <c r="AC160" s="7">
        <v>0</v>
      </c>
      <c r="AD160" s="7">
        <v>124.58</v>
      </c>
      <c r="AE160" s="7">
        <v>78.33</v>
      </c>
      <c r="AF160" s="25">
        <v>241.25</v>
      </c>
      <c r="AG160" s="33">
        <v>0</v>
      </c>
      <c r="AH160" s="33">
        <v>0</v>
      </c>
      <c r="AI160" s="42">
        <v>0</v>
      </c>
      <c r="AJ160" s="42">
        <v>0</v>
      </c>
      <c r="AK160" s="7">
        <v>0</v>
      </c>
    </row>
    <row r="161" spans="1:37" ht="15">
      <c r="A161" s="16">
        <v>45627</v>
      </c>
      <c r="B161" s="7">
        <v>476.25</v>
      </c>
      <c r="C161" s="7">
        <v>209.1</v>
      </c>
      <c r="D161" s="7">
        <v>0</v>
      </c>
      <c r="E161" s="7">
        <v>210.4</v>
      </c>
      <c r="F161" s="7">
        <v>292.5</v>
      </c>
      <c r="G161" s="7">
        <v>178.3</v>
      </c>
      <c r="H161" s="33">
        <v>0</v>
      </c>
      <c r="I161" s="7">
        <v>111.4</v>
      </c>
      <c r="J161" s="7">
        <v>117.55</v>
      </c>
      <c r="K161" s="7">
        <v>184.4</v>
      </c>
      <c r="L161" s="7">
        <v>204.05</v>
      </c>
      <c r="M161" s="10">
        <v>0</v>
      </c>
      <c r="N161" s="7">
        <v>221.7</v>
      </c>
      <c r="O161" s="7">
        <v>391.65</v>
      </c>
      <c r="P161" s="7">
        <v>0</v>
      </c>
      <c r="Q161" s="7">
        <v>104.8</v>
      </c>
      <c r="R161" s="7">
        <v>186.25</v>
      </c>
      <c r="S161" s="7">
        <v>95.6</v>
      </c>
      <c r="T161" s="42">
        <v>0</v>
      </c>
      <c r="U161" s="7">
        <v>97.9</v>
      </c>
      <c r="V161" s="7">
        <v>400.35</v>
      </c>
      <c r="W161" s="7">
        <v>577.45000000000005</v>
      </c>
      <c r="X161" s="7">
        <v>578.70000000000005</v>
      </c>
      <c r="Y161" s="7">
        <v>562.25</v>
      </c>
      <c r="Z161" s="42">
        <v>0</v>
      </c>
      <c r="AA161" s="42">
        <v>0</v>
      </c>
      <c r="AB161" s="7">
        <v>0</v>
      </c>
      <c r="AC161" s="7">
        <v>0</v>
      </c>
      <c r="AD161" s="25">
        <v>149.5</v>
      </c>
      <c r="AE161" s="25">
        <v>94</v>
      </c>
      <c r="AF161" s="7">
        <v>289.5</v>
      </c>
      <c r="AG161" s="33">
        <v>0</v>
      </c>
      <c r="AH161" s="33">
        <v>0</v>
      </c>
      <c r="AI161" s="42">
        <v>0</v>
      </c>
      <c r="AJ161" s="42">
        <v>0</v>
      </c>
      <c r="AK161" s="7">
        <v>0</v>
      </c>
    </row>
    <row r="168" spans="1:37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37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37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37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37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37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37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37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37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2:19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2:19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2:1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2:19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2:19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2:19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2:19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2:19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2:19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2:19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2:19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2:19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2:1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2:19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2:19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2:19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2:19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2:19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2:19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2:19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2:19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2:19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2:19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2:19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2:19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2:19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2:19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2:19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</sheetData>
  <mergeCells count="3">
    <mergeCell ref="A59:E59"/>
    <mergeCell ref="A113:E113"/>
    <mergeCell ref="A1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D905C2C160543BA7E3F59BCDF23BC" ma:contentTypeVersion="10" ma:contentTypeDescription="Create a new document." ma:contentTypeScope="" ma:versionID="e72f9cb94d0f0a9da473feba1e8b0d5b">
  <xsd:schema xmlns:xsd="http://www.w3.org/2001/XMLSchema" xmlns:xs="http://www.w3.org/2001/XMLSchema" xmlns:p="http://schemas.microsoft.com/office/2006/metadata/properties" xmlns:ns3="8bbe3e65-d35e-4acf-a95f-c8a266e55ec1" targetNamespace="http://schemas.microsoft.com/office/2006/metadata/properties" ma:root="true" ma:fieldsID="059ad66fe1ab6d9755620c28a97cb3a3" ns3:_="">
    <xsd:import namespace="8bbe3e65-d35e-4acf-a95f-c8a266e55ec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e3e65-d35e-4acf-a95f-c8a266e55ec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be3e65-d35e-4acf-a95f-c8a266e55ec1" xsi:nil="true"/>
  </documentManagement>
</p:properties>
</file>

<file path=customXml/itemProps1.xml><?xml version="1.0" encoding="utf-8"?>
<ds:datastoreItem xmlns:ds="http://schemas.openxmlformats.org/officeDocument/2006/customXml" ds:itemID="{4DF8F278-1FEF-4520-B124-DB8C49B82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be3e65-d35e-4acf-a95f-c8a266e55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5C6DB8-0DF4-49EE-A417-05DAF8DD7E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2C43E4-1C7A-41E5-806D-8D057DBC4899}">
  <ds:schemaRefs>
    <ds:schemaRef ds:uri="http://schemas.microsoft.com/office/2006/documentManagement/types"/>
    <ds:schemaRef ds:uri="http://schemas.microsoft.com/office/infopath/2007/PartnerControls"/>
    <ds:schemaRef ds:uri="8bbe3e65-d35e-4acf-a95f-c8a266e55ec1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e703bd7-bd28-40df-8081-878326cd2b5f}" enabled="0" method="" siteId="{8e703bd7-bd28-40df-8081-878326cd2b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UPT-Weekday</vt:lpstr>
      <vt:lpstr>UPT-SatSun</vt:lpstr>
      <vt:lpstr>UPT- Total</vt:lpstr>
      <vt:lpstr>VRM-Weekday</vt:lpstr>
      <vt:lpstr>VRM-SatSun</vt:lpstr>
      <vt:lpstr>VRH-Weekday</vt:lpstr>
      <vt:lpstr>VRH-SatSun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Roberson, Madeline (MTA)</dc:creator>
  <cp:lastModifiedBy>Davis, Matthew</cp:lastModifiedBy>
  <dcterms:created xsi:type="dcterms:W3CDTF">2025-03-17T19:44:34Z</dcterms:created>
  <dcterms:modified xsi:type="dcterms:W3CDTF">2025-12-03T19:39:04Z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0x0101004FED905C2C160543BA7E3F59BCDF23BC</vt:lpwstr>
  </property>
</Properties>
</file>